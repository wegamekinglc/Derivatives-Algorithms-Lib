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s" sheetId="1" state="visible" r:id="rId1"/>
    <sheet xmlns:r="http://schemas.openxmlformats.org/officeDocument/2006/relationships" name="LOG_LINEAR" sheetId="2" state="visible" r:id="rId2"/>
    <sheet xmlns:r="http://schemas.openxmlformats.org/officeDocument/2006/relationships" name="LOG_CUBIC_NATURAL" sheetId="3" state="visible" r:id="rId3"/>
    <sheet xmlns:r="http://schemas.openxmlformats.org/officeDocument/2006/relationships" name="MIXED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sz val="11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5" fontId="3" fillId="0" borderId="1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1"/>
  <sheetViews>
    <sheetView zoomScale="85"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115" customWidth="1" min="3" max="3"/>
    <col width="22" customWidth="1" min="4" max="4"/>
    <col width="22" customWidth="1" min="5" max="5"/>
    <col width="29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7" customWidth="1" min="15" max="15"/>
    <col width="17" customWidth="1" min="16" max="16"/>
    <col width="12" customWidth="1" min="17" max="17"/>
    <col width="12" customWidth="1" min="18" max="18"/>
    <col width="12" customWidth="1" min="19" max="19"/>
    <col width="15" customWidth="1" min="20" max="20"/>
    <col width="12" customWidth="1" min="21" max="21"/>
    <col width="12" customWidth="1" min="22" max="22"/>
    <col width="12" customWidth="1" min="23" max="23"/>
    <col width="14" customWidth="1" min="24" max="24"/>
    <col width="17" customWidth="1" min="25" max="25"/>
    <col width="13" customWidth="1" min="26" max="26"/>
    <col width="91" customWidth="1" min="27" max="27"/>
  </cols>
  <sheetData>
    <row r="1">
      <c r="A1" s="1" t="inlineStr">
        <is>
          <t>Direct-script instruments for discount-curve interpolation</t>
        </is>
      </c>
    </row>
    <row r="2"/>
    <row r="3">
      <c r="A3" s="2" t="inlineStr">
        <is>
          <t>instrument</t>
        </is>
      </c>
      <c r="B3" s="2" t="inlineStr">
        <is>
          <t>definition</t>
        </is>
      </c>
      <c r="C3" s="2" t="inlineStr">
        <is>
          <t>handle</t>
        </is>
      </c>
      <c r="D3" s="2" t="inlineStr">
        <is>
          <t>market_quote</t>
        </is>
      </c>
      <c r="E3" s="2" t="inlineStr">
        <is>
          <t>observation</t>
        </is>
      </c>
    </row>
    <row r="4">
      <c r="A4" s="3" t="inlineStr">
        <is>
          <t>ptirds-1</t>
        </is>
      </c>
      <c r="B4" s="4">
        <f>Instruments!$AA$21</f>
        <v/>
      </c>
      <c r="C4" s="4">
        <f>Instruments!$AA$22</f>
        <v/>
      </c>
      <c r="D4" s="4">
        <f>Instruments!$AA$23</f>
        <v/>
      </c>
      <c r="E4" s="4">
        <f>Instruments!$AA$24</f>
        <v/>
      </c>
    </row>
    <row r="5">
      <c r="A5" s="3" t="inlineStr">
        <is>
          <t>ptirds-2</t>
        </is>
      </c>
      <c r="B5" s="4">
        <f>Instruments!$AA$36</f>
        <v/>
      </c>
      <c r="C5" s="4">
        <f>Instruments!$AA$37</f>
        <v/>
      </c>
      <c r="D5" s="4">
        <f>Instruments!$AA$38</f>
        <v/>
      </c>
      <c r="E5" s="4">
        <f>Instruments!$AA$39</f>
        <v/>
      </c>
    </row>
    <row r="6">
      <c r="A6" s="3" t="inlineStr">
        <is>
          <t>ptirds-3</t>
        </is>
      </c>
      <c r="B6" s="4">
        <f>Instruments!$AA$51</f>
        <v/>
      </c>
      <c r="C6" s="4">
        <f>Instruments!$AA$52</f>
        <v/>
      </c>
      <c r="D6" s="4">
        <f>Instruments!$AA$53</f>
        <v/>
      </c>
      <c r="E6" s="4">
        <f>Instruments!$AA$54</f>
        <v/>
      </c>
    </row>
    <row r="7">
      <c r="A7" s="3" t="inlineStr">
        <is>
          <t>ptirds-4</t>
        </is>
      </c>
      <c r="B7" s="4">
        <f>Instruments!$AA$66</f>
        <v/>
      </c>
      <c r="C7" s="4">
        <f>Instruments!$AA$67</f>
        <v/>
      </c>
      <c r="D7" s="4">
        <f>Instruments!$AA$68</f>
        <v/>
      </c>
      <c r="E7" s="4">
        <f>Instruments!$AA$69</f>
        <v/>
      </c>
    </row>
    <row r="8">
      <c r="A8" s="3" t="inlineStr">
        <is>
          <t>ptirds-5</t>
        </is>
      </c>
      <c r="B8" s="4">
        <f>Instruments!$AA$81</f>
        <v/>
      </c>
      <c r="C8" s="4">
        <f>Instruments!$AA$82</f>
        <v/>
      </c>
      <c r="D8" s="4">
        <f>Instruments!$AA$83</f>
        <v/>
      </c>
      <c r="E8" s="4">
        <f>Instruments!$AA$84</f>
        <v/>
      </c>
    </row>
    <row r="9">
      <c r="A9" s="3" t="inlineStr">
        <is>
          <t>ptirds-6</t>
        </is>
      </c>
      <c r="B9" s="4">
        <f>Instruments!$AA$96</f>
        <v/>
      </c>
      <c r="C9" s="4">
        <f>Instruments!$AA$97</f>
        <v/>
      </c>
      <c r="D9" s="4">
        <f>Instruments!$AA$98</f>
        <v/>
      </c>
      <c r="E9" s="4">
        <f>Instruments!$AA$99</f>
        <v/>
      </c>
    </row>
    <row r="10">
      <c r="A10" s="3" t="inlineStr">
        <is>
          <t>ptirds-7</t>
        </is>
      </c>
      <c r="B10" s="4">
        <f>Instruments!$AA$111</f>
        <v/>
      </c>
      <c r="C10" s="4">
        <f>Instruments!$AA$112</f>
        <v/>
      </c>
      <c r="D10" s="4">
        <f>Instruments!$AA$113</f>
        <v/>
      </c>
      <c r="E10" s="4">
        <f>Instruments!$AA$114</f>
        <v/>
      </c>
    </row>
    <row r="11">
      <c r="A11" s="3" t="inlineStr">
        <is>
          <t>ptirds-8</t>
        </is>
      </c>
      <c r="B11" s="4">
        <f>Instruments!$AA$126</f>
        <v/>
      </c>
      <c r="C11" s="4">
        <f>Instruments!$AA$127</f>
        <v/>
      </c>
      <c r="D11" s="4">
        <f>Instruments!$AA$128</f>
        <v/>
      </c>
      <c r="E11" s="4">
        <f>Instruments!$AA$129</f>
        <v/>
      </c>
    </row>
    <row r="12">
      <c r="A12" s="3" t="inlineStr">
        <is>
          <t>ptirds-9</t>
        </is>
      </c>
      <c r="B12" s="4">
        <f>Instruments!$AA$141</f>
        <v/>
      </c>
      <c r="C12" s="4">
        <f>Instruments!$AA$142</f>
        <v/>
      </c>
      <c r="D12" s="4">
        <f>Instruments!$AA$143</f>
        <v/>
      </c>
      <c r="E12" s="4">
        <f>Instruments!$AA$144</f>
        <v/>
      </c>
    </row>
    <row r="13">
      <c r="A13" s="3" t="inlineStr">
        <is>
          <t>ptirds-10</t>
        </is>
      </c>
      <c r="B13" s="4">
        <f>Instruments!$AA$156</f>
        <v/>
      </c>
      <c r="C13" s="4">
        <f>Instruments!$AA$157</f>
        <v/>
      </c>
      <c r="D13" s="4">
        <f>Instruments!$AA$158</f>
        <v/>
      </c>
      <c r="E13" s="4">
        <f>Instruments!$AA$159</f>
        <v/>
      </c>
    </row>
    <row r="14">
      <c r="A14" s="3" t="inlineStr">
        <is>
          <t>ptirds-11</t>
        </is>
      </c>
      <c r="B14" s="4">
        <f>Instruments!$AA$171</f>
        <v/>
      </c>
      <c r="C14" s="4">
        <f>Instruments!$AA$172</f>
        <v/>
      </c>
      <c r="D14" s="4">
        <f>Instruments!$AA$173</f>
        <v/>
      </c>
      <c r="E14" s="4">
        <f>Instruments!$AA$174</f>
        <v/>
      </c>
    </row>
    <row r="15">
      <c r="A15" s="3" t="inlineStr">
        <is>
          <t>ptirds-12</t>
        </is>
      </c>
      <c r="B15" s="4">
        <f>Instruments!$AA$188</f>
        <v/>
      </c>
      <c r="C15" s="4">
        <f>Instruments!$AA$189</f>
        <v/>
      </c>
      <c r="D15" s="4">
        <f>Instruments!$AA$190</f>
        <v/>
      </c>
      <c r="E15" s="4">
        <f>Instruments!$AA$191</f>
        <v/>
      </c>
    </row>
    <row r="16">
      <c r="A16" s="3" t="inlineStr">
        <is>
          <t>ptirds-13</t>
        </is>
      </c>
      <c r="B16" s="4">
        <f>Instruments!$AA$209</f>
        <v/>
      </c>
      <c r="C16" s="4">
        <f>Instruments!$AA$210</f>
        <v/>
      </c>
      <c r="D16" s="4">
        <f>Instruments!$AA$211</f>
        <v/>
      </c>
      <c r="E16" s="4">
        <f>Instruments!$AA$212</f>
        <v/>
      </c>
    </row>
    <row r="17"/>
    <row r="18"/>
    <row r="19"/>
    <row r="20">
      <c r="A20" s="1" t="inlineStr">
        <is>
          <t>ptirds-1 script definition</t>
        </is>
      </c>
    </row>
    <row r="21">
      <c r="A21" s="2" t="inlineStr">
        <is>
          <t>kind</t>
        </is>
      </c>
      <c r="B21" s="2" t="inlineStr">
        <is>
          <t>key</t>
        </is>
      </c>
      <c r="C21" s="2" t="inlineStr">
        <is>
          <t>text</t>
        </is>
      </c>
      <c r="E21" s="2" t="inlineStr">
        <is>
          <t>field</t>
        </is>
      </c>
      <c r="F21" s="2" t="inlineStr">
        <is>
          <t>value</t>
        </is>
      </c>
      <c r="H21" s="2" t="inlineStr">
        <is>
          <t>key</t>
        </is>
      </c>
      <c r="I21" s="2" t="inlineStr">
        <is>
          <t>type</t>
        </is>
      </c>
      <c r="J21" s="2" t="inlineStr">
        <is>
          <t>unit</t>
        </is>
      </c>
      <c r="K21" s="2" t="inlineStr">
        <is>
          <t>role</t>
        </is>
      </c>
      <c r="L21" s="2" t="inlineStr">
        <is>
          <t>bindable</t>
        </is>
      </c>
      <c r="M21" s="2" t="inlineStr">
        <is>
          <t>lower</t>
        </is>
      </c>
      <c r="N21" s="2" t="inlineStr">
        <is>
          <t>upper</t>
        </is>
      </c>
      <c r="O21" s="2" t="inlineStr">
        <is>
          <t>lower_inclusive</t>
        </is>
      </c>
      <c r="P21" s="2" t="inlineStr">
        <is>
          <t>upper_inclusive</t>
        </is>
      </c>
      <c r="S21" s="2" t="inlineStr">
        <is>
          <t>id</t>
        </is>
      </c>
      <c r="T21" s="2" t="inlineStr">
        <is>
          <t>kind</t>
        </is>
      </c>
      <c r="U21" s="2" t="inlineStr">
        <is>
          <t>receiver</t>
        </is>
      </c>
      <c r="V21" s="2" t="inlineStr">
        <is>
          <t>parameter</t>
        </is>
      </c>
      <c r="W21" s="2" t="inlineStr">
        <is>
          <t>unit</t>
        </is>
      </c>
      <c r="X21" s="2" t="inlineStr">
        <is>
          <t>annuity_sign</t>
        </is>
      </c>
      <c r="Y21" s="2" t="inlineStr">
        <is>
          <t>min_abs_annuity</t>
        </is>
      </c>
      <c r="Z21" s="5" t="inlineStr">
        <is>
          <t>Definition</t>
        </is>
      </c>
      <c r="AA21" s="4">
        <f>SCRIPTINSTRUMENTDEFINITION.NEW($A$21:$C$25,$E$21:$F$31,$H$21:$P$23,$S$21:$Y$23,)</f>
        <v/>
      </c>
    </row>
    <row r="22">
      <c r="A22" s="6" t="inlineStr">
        <is>
          <t>Definition</t>
        </is>
      </c>
      <c r="B22" s="6" t="inlineStr">
        <is>
          <t>N</t>
        </is>
      </c>
      <c r="C22" s="6" t="inlineStr">
        <is>
          <t>100</t>
        </is>
      </c>
      <c r="E22" s="6" t="inlineStr">
        <is>
          <t>pay_currency</t>
        </is>
      </c>
      <c r="F22" s="6" t="inlineStr">
        <is>
          <t>USD</t>
        </is>
      </c>
      <c r="H22" s="6" t="inlineStr">
        <is>
          <t>N</t>
        </is>
      </c>
      <c r="I22" s="6" t="inlineStr">
        <is>
          <t>Real</t>
        </is>
      </c>
      <c r="J22" s="6" t="inlineStr">
        <is>
          <t>Price:USD</t>
        </is>
      </c>
      <c r="K22" s="6" t="inlineStr">
        <is>
          <t>Notional</t>
        </is>
      </c>
      <c r="L22" s="6" t="b">
        <v>1</v>
      </c>
      <c r="M22" s="6" t="n">
        <v>0</v>
      </c>
      <c r="N22" s="6" t="n"/>
      <c r="O22" s="6" t="b">
        <v>0</v>
      </c>
      <c r="P22" s="6" t="b">
        <v>1</v>
      </c>
      <c r="S22" s="6" t="inlineStr">
        <is>
          <t>Price</t>
        </is>
      </c>
      <c r="T22" s="6" t="inlineStr">
        <is>
          <t>Price</t>
        </is>
      </c>
      <c r="U22" s="6" t="inlineStr">
        <is>
          <t>PAY</t>
        </is>
      </c>
      <c r="V22" s="6" t="n"/>
      <c r="W22" s="6" t="inlineStr">
        <is>
          <t>Price:USD</t>
        </is>
      </c>
      <c r="X22" s="6" t="n"/>
      <c r="Y22" s="6" t="n"/>
      <c r="Z22" s="5" t="inlineStr">
        <is>
          <t>Instrument</t>
        </is>
      </c>
      <c r="AA22" s="4">
        <f>SCRIPTCALIBRATIONINSTRUMENT.NEW("ptirds-1",AA21,,DATE(2022,1,3))</f>
        <v/>
      </c>
    </row>
    <row r="23">
      <c r="A23" s="6" t="inlineStr">
        <is>
          <t>Definition</t>
        </is>
      </c>
      <c r="B23" s="6" t="inlineStr">
        <is>
          <t>K</t>
        </is>
      </c>
      <c r="C23" s="6" t="inlineStr">
        <is>
          <t>0.01</t>
        </is>
      </c>
      <c r="E23" s="6" t="inlineStr">
        <is>
          <t>result_currency</t>
        </is>
      </c>
      <c r="F23" s="6" t="inlineStr">
        <is>
          <t>USD</t>
        </is>
      </c>
      <c r="H23" s="6" t="inlineStr">
        <is>
          <t>K</t>
        </is>
      </c>
      <c r="I23" s="6" t="inlineStr">
        <is>
          <t>Real</t>
        </is>
      </c>
      <c r="J23" s="6" t="inlineStr">
        <is>
          <t>Rate</t>
        </is>
      </c>
      <c r="K23" s="6" t="inlineStr">
        <is>
          <t>Coupon</t>
        </is>
      </c>
      <c r="L23" s="6" t="b">
        <v>1</v>
      </c>
      <c r="M23" s="6" t="n"/>
      <c r="N23" s="6" t="n"/>
      <c r="O23" s="6" t="b">
        <v>1</v>
      </c>
      <c r="P23" s="6" t="b">
        <v>1</v>
      </c>
      <c r="S23" s="6" t="inlineStr">
        <is>
          <t>ParRate</t>
        </is>
      </c>
      <c r="T23" s="6" t="inlineStr">
        <is>
          <t>ParAffineRate</t>
        </is>
      </c>
      <c r="U23" s="6" t="inlineStr">
        <is>
          <t>PAY</t>
        </is>
      </c>
      <c r="V23" s="6" t="inlineStr">
        <is>
          <t>K</t>
        </is>
      </c>
      <c r="W23" s="6" t="inlineStr">
        <is>
          <t>Rate</t>
        </is>
      </c>
      <c r="X23" s="6" t="n">
        <v>1</v>
      </c>
      <c r="Y23" s="6" t="n">
        <v>1e-12</v>
      </c>
      <c r="Z23" s="5" t="inlineStr">
        <is>
          <t>Quote</t>
        </is>
      </c>
      <c r="AA23" s="4">
        <f>CALIBRATIONMARKETQUOTE.NEW("ptirds-1-quote",0.01,"Rate",)</f>
        <v/>
      </c>
    </row>
    <row r="24">
      <c r="A24" s="6" t="inlineStr">
        <is>
          <t>Event</t>
        </is>
      </c>
      <c r="B24" s="6" t="inlineStr">
        <is>
          <t>2022-01-03</t>
        </is>
      </c>
      <c r="C24" s="6" t="inlineStr">
        <is>
          <t>PAY PAYS N*(0.005479452054794521*K)</t>
        </is>
      </c>
      <c r="E24" s="6" t="inlineStr">
        <is>
          <t>collateral_currency</t>
        </is>
      </c>
      <c r="F24" s="6" t="inlineStr">
        <is>
          <t>USD</t>
        </is>
      </c>
      <c r="Z24" s="5" t="inlineStr">
        <is>
          <t>Observation</t>
        </is>
      </c>
      <c r="AA24" s="4">
        <f>CALIBRATIONOBSERVATION.NEW("ptirds-1-observation",AA22,"ParRate",AA23,1E-10)</f>
        <v/>
      </c>
    </row>
    <row r="25">
      <c r="A25" s="6" t="inlineStr">
        <is>
          <t>Event</t>
        </is>
      </c>
      <c r="B25" s="6" t="inlineStr">
        <is>
          <t>2022-01-03</t>
        </is>
      </c>
      <c r="C25" s="6" t="inlineStr">
        <is>
          <t>PAY PAYS N*(-0.005479452054794521*((1/FIX(IR[USD,DF,2022-01-03,2022-01-01],2022-01-01)-1)/0.005479452054794521))</t>
        </is>
      </c>
      <c r="E25" s="6" t="inlineStr">
        <is>
          <t>collateral_type</t>
        </is>
      </c>
      <c r="F25" s="6" t="inlineStr">
        <is>
          <t>OIS</t>
        </is>
      </c>
    </row>
    <row r="26">
      <c r="E26" s="6" t="inlineStr">
        <is>
          <t>receiver</t>
        </is>
      </c>
      <c r="F26" s="6" t="inlineStr">
        <is>
          <t>PAY</t>
        </is>
      </c>
    </row>
    <row r="27">
      <c r="E27" s="6" t="inlineStr">
        <is>
          <t>notional_parameter</t>
        </is>
      </c>
      <c r="F27" s="6" t="inlineStr">
        <is>
          <t>N</t>
        </is>
      </c>
    </row>
    <row r="28">
      <c r="E28" s="6" t="inlineStr">
        <is>
          <t>settlement</t>
        </is>
      </c>
      <c r="F28" s="6" t="inlineStr">
        <is>
          <t>AtEvent</t>
        </is>
      </c>
    </row>
    <row r="29">
      <c r="E29" s="6" t="inlineStr">
        <is>
          <t>valuation_cashflows</t>
        </is>
      </c>
      <c r="F29" s="6" t="inlineStr">
        <is>
          <t>IncludeUnsettledAtValuation</t>
        </is>
      </c>
    </row>
    <row r="30">
      <c r="E30" s="6" t="inlineStr">
        <is>
          <t>discount_route</t>
        </is>
      </c>
      <c r="F30" s="6" t="inlineStr">
        <is>
          <t>USD.OIS</t>
        </is>
      </c>
    </row>
    <row r="31">
      <c r="E31" s="6" t="inlineStr">
        <is>
          <t>convention_set</t>
        </is>
      </c>
      <c r="F31" s="6" t="inlineStr">
        <is>
          <t>dal.fixed-dates/1</t>
        </is>
      </c>
    </row>
    <row r="32"/>
    <row r="33"/>
    <row r="34"/>
    <row r="35">
      <c r="A35" s="1" t="inlineStr">
        <is>
          <t>ptirds-2 script definition</t>
        </is>
      </c>
    </row>
    <row r="36">
      <c r="A36" s="2" t="inlineStr">
        <is>
          <t>kind</t>
        </is>
      </c>
      <c r="B36" s="2" t="inlineStr">
        <is>
          <t>key</t>
        </is>
      </c>
      <c r="C36" s="2" t="inlineStr">
        <is>
          <t>text</t>
        </is>
      </c>
      <c r="E36" s="2" t="inlineStr">
        <is>
          <t>field</t>
        </is>
      </c>
      <c r="F36" s="2" t="inlineStr">
        <is>
          <t>value</t>
        </is>
      </c>
      <c r="H36" s="2" t="inlineStr">
        <is>
          <t>key</t>
        </is>
      </c>
      <c r="I36" s="2" t="inlineStr">
        <is>
          <t>type</t>
        </is>
      </c>
      <c r="J36" s="2" t="inlineStr">
        <is>
          <t>unit</t>
        </is>
      </c>
      <c r="K36" s="2" t="inlineStr">
        <is>
          <t>role</t>
        </is>
      </c>
      <c r="L36" s="2" t="inlineStr">
        <is>
          <t>bindable</t>
        </is>
      </c>
      <c r="M36" s="2" t="inlineStr">
        <is>
          <t>lower</t>
        </is>
      </c>
      <c r="N36" s="2" t="inlineStr">
        <is>
          <t>upper</t>
        </is>
      </c>
      <c r="O36" s="2" t="inlineStr">
        <is>
          <t>lower_inclusive</t>
        </is>
      </c>
      <c r="P36" s="2" t="inlineStr">
        <is>
          <t>upper_inclusive</t>
        </is>
      </c>
      <c r="S36" s="2" t="inlineStr">
        <is>
          <t>id</t>
        </is>
      </c>
      <c r="T36" s="2" t="inlineStr">
        <is>
          <t>kind</t>
        </is>
      </c>
      <c r="U36" s="2" t="inlineStr">
        <is>
          <t>receiver</t>
        </is>
      </c>
      <c r="V36" s="2" t="inlineStr">
        <is>
          <t>parameter</t>
        </is>
      </c>
      <c r="W36" s="2" t="inlineStr">
        <is>
          <t>unit</t>
        </is>
      </c>
      <c r="X36" s="2" t="inlineStr">
        <is>
          <t>annuity_sign</t>
        </is>
      </c>
      <c r="Y36" s="2" t="inlineStr">
        <is>
          <t>min_abs_annuity</t>
        </is>
      </c>
      <c r="Z36" s="5" t="inlineStr">
        <is>
          <t>Definition</t>
        </is>
      </c>
      <c r="AA36" s="4">
        <f>SCRIPTINSTRUMENTDEFINITION.NEW($A$36:$C$40,$E$36:$F$46,$H$36:$P$38,$S$36:$Y$38,)</f>
        <v/>
      </c>
    </row>
    <row r="37">
      <c r="A37" s="6" t="inlineStr">
        <is>
          <t>Definition</t>
        </is>
      </c>
      <c r="B37" s="6" t="inlineStr">
        <is>
          <t>N</t>
        </is>
      </c>
      <c r="C37" s="6" t="inlineStr">
        <is>
          <t>100</t>
        </is>
      </c>
      <c r="E37" s="6" t="inlineStr">
        <is>
          <t>pay_currency</t>
        </is>
      </c>
      <c r="F37" s="6" t="inlineStr">
        <is>
          <t>USD</t>
        </is>
      </c>
      <c r="H37" s="6" t="inlineStr">
        <is>
          <t>N</t>
        </is>
      </c>
      <c r="I37" s="6" t="inlineStr">
        <is>
          <t>Real</t>
        </is>
      </c>
      <c r="J37" s="6" t="inlineStr">
        <is>
          <t>Price:USD</t>
        </is>
      </c>
      <c r="K37" s="6" t="inlineStr">
        <is>
          <t>Notional</t>
        </is>
      </c>
      <c r="L37" s="6" t="b">
        <v>1</v>
      </c>
      <c r="M37" s="6" t="n">
        <v>0</v>
      </c>
      <c r="N37" s="6" t="n"/>
      <c r="O37" s="6" t="b">
        <v>0</v>
      </c>
      <c r="P37" s="6" t="b">
        <v>1</v>
      </c>
      <c r="S37" s="6" t="inlineStr">
        <is>
          <t>Price</t>
        </is>
      </c>
      <c r="T37" s="6" t="inlineStr">
        <is>
          <t>Price</t>
        </is>
      </c>
      <c r="U37" s="6" t="inlineStr">
        <is>
          <t>PAY</t>
        </is>
      </c>
      <c r="V37" s="6" t="n"/>
      <c r="W37" s="6" t="inlineStr">
        <is>
          <t>Price:USD</t>
        </is>
      </c>
      <c r="X37" s="6" t="n"/>
      <c r="Y37" s="6" t="n"/>
      <c r="Z37" s="5" t="inlineStr">
        <is>
          <t>Instrument</t>
        </is>
      </c>
      <c r="AA37" s="4">
        <f>SCRIPTCALIBRATIONINSTRUMENT.NEW("ptirds-2",AA36,,DATE(2022,6,15))</f>
        <v/>
      </c>
    </row>
    <row r="38">
      <c r="A38" s="6" t="inlineStr">
        <is>
          <t>Definition</t>
        </is>
      </c>
      <c r="B38" s="6" t="inlineStr">
        <is>
          <t>K</t>
        </is>
      </c>
      <c r="C38" s="6" t="inlineStr">
        <is>
          <t>0.0105</t>
        </is>
      </c>
      <c r="E38" s="6" t="inlineStr">
        <is>
          <t>result_currency</t>
        </is>
      </c>
      <c r="F38" s="6" t="inlineStr">
        <is>
          <t>USD</t>
        </is>
      </c>
      <c r="H38" s="6" t="inlineStr">
        <is>
          <t>K</t>
        </is>
      </c>
      <c r="I38" s="6" t="inlineStr">
        <is>
          <t>Real</t>
        </is>
      </c>
      <c r="J38" s="6" t="inlineStr">
        <is>
          <t>Rate</t>
        </is>
      </c>
      <c r="K38" s="6" t="inlineStr">
        <is>
          <t>Coupon</t>
        </is>
      </c>
      <c r="L38" s="6" t="b">
        <v>1</v>
      </c>
      <c r="M38" s="6" t="n"/>
      <c r="N38" s="6" t="n"/>
      <c r="O38" s="6" t="b">
        <v>1</v>
      </c>
      <c r="P38" s="6" t="b">
        <v>1</v>
      </c>
      <c r="S38" s="6" t="inlineStr">
        <is>
          <t>ParRate</t>
        </is>
      </c>
      <c r="T38" s="6" t="inlineStr">
        <is>
          <t>ParAffineRate</t>
        </is>
      </c>
      <c r="U38" s="6" t="inlineStr">
        <is>
          <t>PAY</t>
        </is>
      </c>
      <c r="V38" s="6" t="inlineStr">
        <is>
          <t>K</t>
        </is>
      </c>
      <c r="W38" s="6" t="inlineStr">
        <is>
          <t>Rate</t>
        </is>
      </c>
      <c r="X38" s="6" t="n">
        <v>1</v>
      </c>
      <c r="Y38" s="6" t="n">
        <v>1e-12</v>
      </c>
      <c r="Z38" s="5" t="inlineStr">
        <is>
          <t>Quote</t>
        </is>
      </c>
      <c r="AA38" s="4">
        <f>CALIBRATIONMARKETQUOTE.NEW("ptirds-2-quote",0.0105,"Rate",)</f>
        <v/>
      </c>
    </row>
    <row r="39">
      <c r="A39" s="6" t="inlineStr">
        <is>
          <t>Event</t>
        </is>
      </c>
      <c r="B39" s="6" t="inlineStr">
        <is>
          <t>2022-06-15</t>
        </is>
      </c>
      <c r="C39" s="6" t="inlineStr">
        <is>
          <t>PAY PAYS N*(0.25205479452054796*K)</t>
        </is>
      </c>
      <c r="E39" s="6" t="inlineStr">
        <is>
          <t>collateral_currency</t>
        </is>
      </c>
      <c r="F39" s="6" t="inlineStr">
        <is>
          <t>USD</t>
        </is>
      </c>
      <c r="Z39" s="5" t="inlineStr">
        <is>
          <t>Observation</t>
        </is>
      </c>
      <c r="AA39" s="4">
        <f>CALIBRATIONOBSERVATION.NEW("ptirds-2-observation",AA37,"ParRate",AA38,1E-10)</f>
        <v/>
      </c>
    </row>
    <row r="40">
      <c r="A40" s="6" t="inlineStr">
        <is>
          <t>Event</t>
        </is>
      </c>
      <c r="B40" s="6" t="inlineStr">
        <is>
          <t>2022-06-15</t>
        </is>
      </c>
      <c r="C40" s="6" t="inlineStr">
        <is>
          <t>PAY PAYS N*(-0.25205479452054796*((1/FIX(IR[USD,DF,2022-06-15,2022-03-15],2022-03-15)-1)/0.25205479452054796))</t>
        </is>
      </c>
      <c r="E40" s="6" t="inlineStr">
        <is>
          <t>collateral_type</t>
        </is>
      </c>
      <c r="F40" s="6" t="inlineStr">
        <is>
          <t>OIS</t>
        </is>
      </c>
    </row>
    <row r="41">
      <c r="E41" s="6" t="inlineStr">
        <is>
          <t>receiver</t>
        </is>
      </c>
      <c r="F41" s="6" t="inlineStr">
        <is>
          <t>PAY</t>
        </is>
      </c>
    </row>
    <row r="42">
      <c r="E42" s="6" t="inlineStr">
        <is>
          <t>notional_parameter</t>
        </is>
      </c>
      <c r="F42" s="6" t="inlineStr">
        <is>
          <t>N</t>
        </is>
      </c>
    </row>
    <row r="43">
      <c r="E43" s="6" t="inlineStr">
        <is>
          <t>settlement</t>
        </is>
      </c>
      <c r="F43" s="6" t="inlineStr">
        <is>
          <t>AtEvent</t>
        </is>
      </c>
    </row>
    <row r="44">
      <c r="E44" s="6" t="inlineStr">
        <is>
          <t>valuation_cashflows</t>
        </is>
      </c>
      <c r="F44" s="6" t="inlineStr">
        <is>
          <t>IncludeUnsettledAtValuation</t>
        </is>
      </c>
    </row>
    <row r="45">
      <c r="E45" s="6" t="inlineStr">
        <is>
          <t>discount_route</t>
        </is>
      </c>
      <c r="F45" s="6" t="inlineStr">
        <is>
          <t>USD.OIS</t>
        </is>
      </c>
    </row>
    <row r="46">
      <c r="E46" s="6" t="inlineStr">
        <is>
          <t>convention_set</t>
        </is>
      </c>
      <c r="F46" s="6" t="inlineStr">
        <is>
          <t>dal.fixed-dates/1</t>
        </is>
      </c>
    </row>
    <row r="47"/>
    <row r="48"/>
    <row r="49"/>
    <row r="50">
      <c r="A50" s="1" t="inlineStr">
        <is>
          <t>ptirds-3 script definition</t>
        </is>
      </c>
    </row>
    <row r="51">
      <c r="A51" s="2" t="inlineStr">
        <is>
          <t>kind</t>
        </is>
      </c>
      <c r="B51" s="2" t="inlineStr">
        <is>
          <t>key</t>
        </is>
      </c>
      <c r="C51" s="2" t="inlineStr">
        <is>
          <t>text</t>
        </is>
      </c>
      <c r="E51" s="2" t="inlineStr">
        <is>
          <t>field</t>
        </is>
      </c>
      <c r="F51" s="2" t="inlineStr">
        <is>
          <t>value</t>
        </is>
      </c>
      <c r="H51" s="2" t="inlineStr">
        <is>
          <t>key</t>
        </is>
      </c>
      <c r="I51" s="2" t="inlineStr">
        <is>
          <t>type</t>
        </is>
      </c>
      <c r="J51" s="2" t="inlineStr">
        <is>
          <t>unit</t>
        </is>
      </c>
      <c r="K51" s="2" t="inlineStr">
        <is>
          <t>role</t>
        </is>
      </c>
      <c r="L51" s="2" t="inlineStr">
        <is>
          <t>bindable</t>
        </is>
      </c>
      <c r="M51" s="2" t="inlineStr">
        <is>
          <t>lower</t>
        </is>
      </c>
      <c r="N51" s="2" t="inlineStr">
        <is>
          <t>upper</t>
        </is>
      </c>
      <c r="O51" s="2" t="inlineStr">
        <is>
          <t>lower_inclusive</t>
        </is>
      </c>
      <c r="P51" s="2" t="inlineStr">
        <is>
          <t>upper_inclusive</t>
        </is>
      </c>
      <c r="S51" s="2" t="inlineStr">
        <is>
          <t>id</t>
        </is>
      </c>
      <c r="T51" s="2" t="inlineStr">
        <is>
          <t>kind</t>
        </is>
      </c>
      <c r="U51" s="2" t="inlineStr">
        <is>
          <t>receiver</t>
        </is>
      </c>
      <c r="V51" s="2" t="inlineStr">
        <is>
          <t>parameter</t>
        </is>
      </c>
      <c r="W51" s="2" t="inlineStr">
        <is>
          <t>unit</t>
        </is>
      </c>
      <c r="X51" s="2" t="inlineStr">
        <is>
          <t>annuity_sign</t>
        </is>
      </c>
      <c r="Y51" s="2" t="inlineStr">
        <is>
          <t>min_abs_annuity</t>
        </is>
      </c>
      <c r="Z51" s="5" t="inlineStr">
        <is>
          <t>Definition</t>
        </is>
      </c>
      <c r="AA51" s="4">
        <f>SCRIPTINSTRUMENTDEFINITION.NEW($A$51:$C$55,$E$51:$F$61,$H$51:$P$53,$S$51:$Y$53,)</f>
        <v/>
      </c>
    </row>
    <row r="52">
      <c r="A52" s="6" t="inlineStr">
        <is>
          <t>Definition</t>
        </is>
      </c>
      <c r="B52" s="6" t="inlineStr">
        <is>
          <t>N</t>
        </is>
      </c>
      <c r="C52" s="6" t="inlineStr">
        <is>
          <t>100</t>
        </is>
      </c>
      <c r="E52" s="6" t="inlineStr">
        <is>
          <t>pay_currency</t>
        </is>
      </c>
      <c r="F52" s="6" t="inlineStr">
        <is>
          <t>USD</t>
        </is>
      </c>
      <c r="H52" s="6" t="inlineStr">
        <is>
          <t>N</t>
        </is>
      </c>
      <c r="I52" s="6" t="inlineStr">
        <is>
          <t>Real</t>
        </is>
      </c>
      <c r="J52" s="6" t="inlineStr">
        <is>
          <t>Price:USD</t>
        </is>
      </c>
      <c r="K52" s="6" t="inlineStr">
        <is>
          <t>Notional</t>
        </is>
      </c>
      <c r="L52" s="6" t="b">
        <v>1</v>
      </c>
      <c r="M52" s="6" t="n">
        <v>0</v>
      </c>
      <c r="N52" s="6" t="n"/>
      <c r="O52" s="6" t="b">
        <v>0</v>
      </c>
      <c r="P52" s="6" t="b">
        <v>1</v>
      </c>
      <c r="S52" s="6" t="inlineStr">
        <is>
          <t>Price</t>
        </is>
      </c>
      <c r="T52" s="6" t="inlineStr">
        <is>
          <t>Price</t>
        </is>
      </c>
      <c r="U52" s="6" t="inlineStr">
        <is>
          <t>PAY</t>
        </is>
      </c>
      <c r="V52" s="6" t="n"/>
      <c r="W52" s="6" t="inlineStr">
        <is>
          <t>Price:USD</t>
        </is>
      </c>
      <c r="X52" s="6" t="n"/>
      <c r="Y52" s="6" t="n"/>
      <c r="Z52" s="5" t="inlineStr">
        <is>
          <t>Instrument</t>
        </is>
      </c>
      <c r="AA52" s="4">
        <f>SCRIPTCALIBRATIONINSTRUMENT.NEW("ptirds-3",AA51,,DATE(2022,9,21))</f>
        <v/>
      </c>
    </row>
    <row r="53">
      <c r="A53" s="6" t="inlineStr">
        <is>
          <t>Definition</t>
        </is>
      </c>
      <c r="B53" s="6" t="inlineStr">
        <is>
          <t>K</t>
        </is>
      </c>
      <c r="C53" s="6" t="inlineStr">
        <is>
          <t>0.011200000000000002</t>
        </is>
      </c>
      <c r="E53" s="6" t="inlineStr">
        <is>
          <t>result_currency</t>
        </is>
      </c>
      <c r="F53" s="6" t="inlineStr">
        <is>
          <t>USD</t>
        </is>
      </c>
      <c r="H53" s="6" t="inlineStr">
        <is>
          <t>K</t>
        </is>
      </c>
      <c r="I53" s="6" t="inlineStr">
        <is>
          <t>Real</t>
        </is>
      </c>
      <c r="J53" s="6" t="inlineStr">
        <is>
          <t>Rate</t>
        </is>
      </c>
      <c r="K53" s="6" t="inlineStr">
        <is>
          <t>Coupon</t>
        </is>
      </c>
      <c r="L53" s="6" t="b">
        <v>1</v>
      </c>
      <c r="M53" s="6" t="n"/>
      <c r="N53" s="6" t="n"/>
      <c r="O53" s="6" t="b">
        <v>1</v>
      </c>
      <c r="P53" s="6" t="b">
        <v>1</v>
      </c>
      <c r="S53" s="6" t="inlineStr">
        <is>
          <t>ParRate</t>
        </is>
      </c>
      <c r="T53" s="6" t="inlineStr">
        <is>
          <t>ParAffineRate</t>
        </is>
      </c>
      <c r="U53" s="6" t="inlineStr">
        <is>
          <t>PAY</t>
        </is>
      </c>
      <c r="V53" s="6" t="inlineStr">
        <is>
          <t>K</t>
        </is>
      </c>
      <c r="W53" s="6" t="inlineStr">
        <is>
          <t>Rate</t>
        </is>
      </c>
      <c r="X53" s="6" t="n">
        <v>1</v>
      </c>
      <c r="Y53" s="6" t="n">
        <v>1e-12</v>
      </c>
      <c r="Z53" s="5" t="inlineStr">
        <is>
          <t>Quote</t>
        </is>
      </c>
      <c r="AA53" s="4">
        <f>CALIBRATIONMARKETQUOTE.NEW("ptirds-3-quote",0.011200000000000002,"Rate",)</f>
        <v/>
      </c>
    </row>
    <row r="54">
      <c r="A54" s="6" t="inlineStr">
        <is>
          <t>Event</t>
        </is>
      </c>
      <c r="B54" s="6" t="inlineStr">
        <is>
          <t>2022-09-21</t>
        </is>
      </c>
      <c r="C54" s="6" t="inlineStr">
        <is>
          <t>PAY PAYS N*(0.2684931506849315*K)</t>
        </is>
      </c>
      <c r="E54" s="6" t="inlineStr">
        <is>
          <t>collateral_currency</t>
        </is>
      </c>
      <c r="F54" s="6" t="inlineStr">
        <is>
          <t>USD</t>
        </is>
      </c>
      <c r="Z54" s="5" t="inlineStr">
        <is>
          <t>Observation</t>
        </is>
      </c>
      <c r="AA54" s="4">
        <f>CALIBRATIONOBSERVATION.NEW("ptirds-3-observation",AA52,"ParRate",AA53,1E-10)</f>
        <v/>
      </c>
    </row>
    <row r="55">
      <c r="A55" s="6" t="inlineStr">
        <is>
          <t>Event</t>
        </is>
      </c>
      <c r="B55" s="6" t="inlineStr">
        <is>
          <t>2022-09-21</t>
        </is>
      </c>
      <c r="C55" s="6" t="inlineStr">
        <is>
          <t>PAY PAYS N*(-0.2684931506849315*((1/FIX(IR[USD,DF,2022-09-21,2022-06-15],2022-06-15)-1)/0.2684931506849315))</t>
        </is>
      </c>
      <c r="E55" s="6" t="inlineStr">
        <is>
          <t>collateral_type</t>
        </is>
      </c>
      <c r="F55" s="6" t="inlineStr">
        <is>
          <t>OIS</t>
        </is>
      </c>
    </row>
    <row r="56">
      <c r="E56" s="6" t="inlineStr">
        <is>
          <t>receiver</t>
        </is>
      </c>
      <c r="F56" s="6" t="inlineStr">
        <is>
          <t>PAY</t>
        </is>
      </c>
    </row>
    <row r="57">
      <c r="E57" s="6" t="inlineStr">
        <is>
          <t>notional_parameter</t>
        </is>
      </c>
      <c r="F57" s="6" t="inlineStr">
        <is>
          <t>N</t>
        </is>
      </c>
    </row>
    <row r="58">
      <c r="E58" s="6" t="inlineStr">
        <is>
          <t>settlement</t>
        </is>
      </c>
      <c r="F58" s="6" t="inlineStr">
        <is>
          <t>AtEvent</t>
        </is>
      </c>
    </row>
    <row r="59">
      <c r="E59" s="6" t="inlineStr">
        <is>
          <t>valuation_cashflows</t>
        </is>
      </c>
      <c r="F59" s="6" t="inlineStr">
        <is>
          <t>IncludeUnsettledAtValuation</t>
        </is>
      </c>
    </row>
    <row r="60">
      <c r="E60" s="6" t="inlineStr">
        <is>
          <t>discount_route</t>
        </is>
      </c>
      <c r="F60" s="6" t="inlineStr">
        <is>
          <t>USD.OIS</t>
        </is>
      </c>
    </row>
    <row r="61">
      <c r="E61" s="6" t="inlineStr">
        <is>
          <t>convention_set</t>
        </is>
      </c>
      <c r="F61" s="6" t="inlineStr">
        <is>
          <t>dal.fixed-dates/1</t>
        </is>
      </c>
    </row>
    <row r="62"/>
    <row r="63"/>
    <row r="64"/>
    <row r="65">
      <c r="A65" s="1" t="inlineStr">
        <is>
          <t>ptirds-4 script definition</t>
        </is>
      </c>
    </row>
    <row r="66">
      <c r="A66" s="2" t="inlineStr">
        <is>
          <t>kind</t>
        </is>
      </c>
      <c r="B66" s="2" t="inlineStr">
        <is>
          <t>key</t>
        </is>
      </c>
      <c r="C66" s="2" t="inlineStr">
        <is>
          <t>text</t>
        </is>
      </c>
      <c r="E66" s="2" t="inlineStr">
        <is>
          <t>field</t>
        </is>
      </c>
      <c r="F66" s="2" t="inlineStr">
        <is>
          <t>value</t>
        </is>
      </c>
      <c r="H66" s="2" t="inlineStr">
        <is>
          <t>key</t>
        </is>
      </c>
      <c r="I66" s="2" t="inlineStr">
        <is>
          <t>type</t>
        </is>
      </c>
      <c r="J66" s="2" t="inlineStr">
        <is>
          <t>unit</t>
        </is>
      </c>
      <c r="K66" s="2" t="inlineStr">
        <is>
          <t>role</t>
        </is>
      </c>
      <c r="L66" s="2" t="inlineStr">
        <is>
          <t>bindable</t>
        </is>
      </c>
      <c r="M66" s="2" t="inlineStr">
        <is>
          <t>lower</t>
        </is>
      </c>
      <c r="N66" s="2" t="inlineStr">
        <is>
          <t>upper</t>
        </is>
      </c>
      <c r="O66" s="2" t="inlineStr">
        <is>
          <t>lower_inclusive</t>
        </is>
      </c>
      <c r="P66" s="2" t="inlineStr">
        <is>
          <t>upper_inclusive</t>
        </is>
      </c>
      <c r="S66" s="2" t="inlineStr">
        <is>
          <t>id</t>
        </is>
      </c>
      <c r="T66" s="2" t="inlineStr">
        <is>
          <t>kind</t>
        </is>
      </c>
      <c r="U66" s="2" t="inlineStr">
        <is>
          <t>receiver</t>
        </is>
      </c>
      <c r="V66" s="2" t="inlineStr">
        <is>
          <t>parameter</t>
        </is>
      </c>
      <c r="W66" s="2" t="inlineStr">
        <is>
          <t>unit</t>
        </is>
      </c>
      <c r="X66" s="2" t="inlineStr">
        <is>
          <t>annuity_sign</t>
        </is>
      </c>
      <c r="Y66" s="2" t="inlineStr">
        <is>
          <t>min_abs_annuity</t>
        </is>
      </c>
      <c r="Z66" s="5" t="inlineStr">
        <is>
          <t>Definition</t>
        </is>
      </c>
      <c r="AA66" s="4">
        <f>SCRIPTINSTRUMENTDEFINITION.NEW($A$66:$C$70,$E$66:$F$76,$H$66:$P$68,$S$66:$Y$68,)</f>
        <v/>
      </c>
    </row>
    <row r="67">
      <c r="A67" s="6" t="inlineStr">
        <is>
          <t>Definition</t>
        </is>
      </c>
      <c r="B67" s="6" t="inlineStr">
        <is>
          <t>N</t>
        </is>
      </c>
      <c r="C67" s="6" t="inlineStr">
        <is>
          <t>100</t>
        </is>
      </c>
      <c r="E67" s="6" t="inlineStr">
        <is>
          <t>pay_currency</t>
        </is>
      </c>
      <c r="F67" s="6" t="inlineStr">
        <is>
          <t>USD</t>
        </is>
      </c>
      <c r="H67" s="6" t="inlineStr">
        <is>
          <t>N</t>
        </is>
      </c>
      <c r="I67" s="6" t="inlineStr">
        <is>
          <t>Real</t>
        </is>
      </c>
      <c r="J67" s="6" t="inlineStr">
        <is>
          <t>Price:USD</t>
        </is>
      </c>
      <c r="K67" s="6" t="inlineStr">
        <is>
          <t>Notional</t>
        </is>
      </c>
      <c r="L67" s="6" t="b">
        <v>1</v>
      </c>
      <c r="M67" s="6" t="n">
        <v>0</v>
      </c>
      <c r="N67" s="6" t="n"/>
      <c r="O67" s="6" t="b">
        <v>0</v>
      </c>
      <c r="P67" s="6" t="b">
        <v>1</v>
      </c>
      <c r="S67" s="6" t="inlineStr">
        <is>
          <t>Price</t>
        </is>
      </c>
      <c r="T67" s="6" t="inlineStr">
        <is>
          <t>Price</t>
        </is>
      </c>
      <c r="U67" s="6" t="inlineStr">
        <is>
          <t>PAY</t>
        </is>
      </c>
      <c r="V67" s="6" t="n"/>
      <c r="W67" s="6" t="inlineStr">
        <is>
          <t>Price:USD</t>
        </is>
      </c>
      <c r="X67" s="6" t="n"/>
      <c r="Y67" s="6" t="n"/>
      <c r="Z67" s="5" t="inlineStr">
        <is>
          <t>Instrument</t>
        </is>
      </c>
      <c r="AA67" s="4">
        <f>SCRIPTCALIBRATIONINSTRUMENT.NEW("ptirds-4",AA66,,DATE(2022,12,21))</f>
        <v/>
      </c>
    </row>
    <row r="68">
      <c r="A68" s="6" t="inlineStr">
        <is>
          <t>Definition</t>
        </is>
      </c>
      <c r="B68" s="6" t="inlineStr">
        <is>
          <t>K</t>
        </is>
      </c>
      <c r="C68" s="6" t="inlineStr">
        <is>
          <t>0.0116</t>
        </is>
      </c>
      <c r="E68" s="6" t="inlineStr">
        <is>
          <t>result_currency</t>
        </is>
      </c>
      <c r="F68" s="6" t="inlineStr">
        <is>
          <t>USD</t>
        </is>
      </c>
      <c r="H68" s="6" t="inlineStr">
        <is>
          <t>K</t>
        </is>
      </c>
      <c r="I68" s="6" t="inlineStr">
        <is>
          <t>Real</t>
        </is>
      </c>
      <c r="J68" s="6" t="inlineStr">
        <is>
          <t>Rate</t>
        </is>
      </c>
      <c r="K68" s="6" t="inlineStr">
        <is>
          <t>Coupon</t>
        </is>
      </c>
      <c r="L68" s="6" t="b">
        <v>1</v>
      </c>
      <c r="M68" s="6" t="n"/>
      <c r="N68" s="6" t="n"/>
      <c r="O68" s="6" t="b">
        <v>1</v>
      </c>
      <c r="P68" s="6" t="b">
        <v>1</v>
      </c>
      <c r="S68" s="6" t="inlineStr">
        <is>
          <t>ParRate</t>
        </is>
      </c>
      <c r="T68" s="6" t="inlineStr">
        <is>
          <t>ParAffineRate</t>
        </is>
      </c>
      <c r="U68" s="6" t="inlineStr">
        <is>
          <t>PAY</t>
        </is>
      </c>
      <c r="V68" s="6" t="inlineStr">
        <is>
          <t>K</t>
        </is>
      </c>
      <c r="W68" s="6" t="inlineStr">
        <is>
          <t>Rate</t>
        </is>
      </c>
      <c r="X68" s="6" t="n">
        <v>1</v>
      </c>
      <c r="Y68" s="6" t="n">
        <v>1e-12</v>
      </c>
      <c r="Z68" s="5" t="inlineStr">
        <is>
          <t>Quote</t>
        </is>
      </c>
      <c r="AA68" s="4">
        <f>CALIBRATIONMARKETQUOTE.NEW("ptirds-4-quote",0.0116,"Rate",)</f>
        <v/>
      </c>
    </row>
    <row r="69">
      <c r="A69" s="6" t="inlineStr">
        <is>
          <t>Event</t>
        </is>
      </c>
      <c r="B69" s="6" t="inlineStr">
        <is>
          <t>2022-12-21</t>
        </is>
      </c>
      <c r="C69" s="6" t="inlineStr">
        <is>
          <t>PAY PAYS N*(0.2493150684931507*K)</t>
        </is>
      </c>
      <c r="E69" s="6" t="inlineStr">
        <is>
          <t>collateral_currency</t>
        </is>
      </c>
      <c r="F69" s="6" t="inlineStr">
        <is>
          <t>USD</t>
        </is>
      </c>
      <c r="Z69" s="5" t="inlineStr">
        <is>
          <t>Observation</t>
        </is>
      </c>
      <c r="AA69" s="4">
        <f>CALIBRATIONOBSERVATION.NEW("ptirds-4-observation",AA67,"ParRate",AA68,1E-10)</f>
        <v/>
      </c>
    </row>
    <row r="70">
      <c r="A70" s="6" t="inlineStr">
        <is>
          <t>Event</t>
        </is>
      </c>
      <c r="B70" s="6" t="inlineStr">
        <is>
          <t>2022-12-21</t>
        </is>
      </c>
      <c r="C70" s="6" t="inlineStr">
        <is>
          <t>PAY PAYS N*(-0.2493150684931507*((1/FIX(IR[USD,DF,2022-12-21,2022-09-21],2022-09-21)-1)/0.2493150684931507))</t>
        </is>
      </c>
      <c r="E70" s="6" t="inlineStr">
        <is>
          <t>collateral_type</t>
        </is>
      </c>
      <c r="F70" s="6" t="inlineStr">
        <is>
          <t>OIS</t>
        </is>
      </c>
    </row>
    <row r="71">
      <c r="E71" s="6" t="inlineStr">
        <is>
          <t>receiver</t>
        </is>
      </c>
      <c r="F71" s="6" t="inlineStr">
        <is>
          <t>PAY</t>
        </is>
      </c>
    </row>
    <row r="72">
      <c r="E72" s="6" t="inlineStr">
        <is>
          <t>notional_parameter</t>
        </is>
      </c>
      <c r="F72" s="6" t="inlineStr">
        <is>
          <t>N</t>
        </is>
      </c>
    </row>
    <row r="73">
      <c r="E73" s="6" t="inlineStr">
        <is>
          <t>settlement</t>
        </is>
      </c>
      <c r="F73" s="6" t="inlineStr">
        <is>
          <t>AtEvent</t>
        </is>
      </c>
    </row>
    <row r="74">
      <c r="E74" s="6" t="inlineStr">
        <is>
          <t>valuation_cashflows</t>
        </is>
      </c>
      <c r="F74" s="6" t="inlineStr">
        <is>
          <t>IncludeUnsettledAtValuation</t>
        </is>
      </c>
    </row>
    <row r="75">
      <c r="E75" s="6" t="inlineStr">
        <is>
          <t>discount_route</t>
        </is>
      </c>
      <c r="F75" s="6" t="inlineStr">
        <is>
          <t>USD.OIS</t>
        </is>
      </c>
    </row>
    <row r="76">
      <c r="E76" s="6" t="inlineStr">
        <is>
          <t>convention_set</t>
        </is>
      </c>
      <c r="F76" s="6" t="inlineStr">
        <is>
          <t>dal.fixed-dates/1</t>
        </is>
      </c>
    </row>
    <row r="77"/>
    <row r="78"/>
    <row r="79"/>
    <row r="80">
      <c r="A80" s="1" t="inlineStr">
        <is>
          <t>ptirds-5 script definition</t>
        </is>
      </c>
    </row>
    <row r="81">
      <c r="A81" s="2" t="inlineStr">
        <is>
          <t>kind</t>
        </is>
      </c>
      <c r="B81" s="2" t="inlineStr">
        <is>
          <t>key</t>
        </is>
      </c>
      <c r="C81" s="2" t="inlineStr">
        <is>
          <t>text</t>
        </is>
      </c>
      <c r="E81" s="2" t="inlineStr">
        <is>
          <t>field</t>
        </is>
      </c>
      <c r="F81" s="2" t="inlineStr">
        <is>
          <t>value</t>
        </is>
      </c>
      <c r="H81" s="2" t="inlineStr">
        <is>
          <t>key</t>
        </is>
      </c>
      <c r="I81" s="2" t="inlineStr">
        <is>
          <t>type</t>
        </is>
      </c>
      <c r="J81" s="2" t="inlineStr">
        <is>
          <t>unit</t>
        </is>
      </c>
      <c r="K81" s="2" t="inlineStr">
        <is>
          <t>role</t>
        </is>
      </c>
      <c r="L81" s="2" t="inlineStr">
        <is>
          <t>bindable</t>
        </is>
      </c>
      <c r="M81" s="2" t="inlineStr">
        <is>
          <t>lower</t>
        </is>
      </c>
      <c r="N81" s="2" t="inlineStr">
        <is>
          <t>upper</t>
        </is>
      </c>
      <c r="O81" s="2" t="inlineStr">
        <is>
          <t>lower_inclusive</t>
        </is>
      </c>
      <c r="P81" s="2" t="inlineStr">
        <is>
          <t>upper_inclusive</t>
        </is>
      </c>
      <c r="S81" s="2" t="inlineStr">
        <is>
          <t>id</t>
        </is>
      </c>
      <c r="T81" s="2" t="inlineStr">
        <is>
          <t>kind</t>
        </is>
      </c>
      <c r="U81" s="2" t="inlineStr">
        <is>
          <t>receiver</t>
        </is>
      </c>
      <c r="V81" s="2" t="inlineStr">
        <is>
          <t>parameter</t>
        </is>
      </c>
      <c r="W81" s="2" t="inlineStr">
        <is>
          <t>unit</t>
        </is>
      </c>
      <c r="X81" s="2" t="inlineStr">
        <is>
          <t>annuity_sign</t>
        </is>
      </c>
      <c r="Y81" s="2" t="inlineStr">
        <is>
          <t>min_abs_annuity</t>
        </is>
      </c>
      <c r="Z81" s="5" t="inlineStr">
        <is>
          <t>Definition</t>
        </is>
      </c>
      <c r="AA81" s="4">
        <f>SCRIPTINSTRUMENTDEFINITION.NEW($A$81:$C$85,$E$81:$F$91,$H$81:$P$83,$S$81:$Y$83,)</f>
        <v/>
      </c>
    </row>
    <row r="82">
      <c r="A82" s="6" t="inlineStr">
        <is>
          <t>Definition</t>
        </is>
      </c>
      <c r="B82" s="6" t="inlineStr">
        <is>
          <t>N</t>
        </is>
      </c>
      <c r="C82" s="6" t="inlineStr">
        <is>
          <t>100</t>
        </is>
      </c>
      <c r="E82" s="6" t="inlineStr">
        <is>
          <t>pay_currency</t>
        </is>
      </c>
      <c r="F82" s="6" t="inlineStr">
        <is>
          <t>USD</t>
        </is>
      </c>
      <c r="H82" s="6" t="inlineStr">
        <is>
          <t>N</t>
        </is>
      </c>
      <c r="I82" s="6" t="inlineStr">
        <is>
          <t>Real</t>
        </is>
      </c>
      <c r="J82" s="6" t="inlineStr">
        <is>
          <t>Price:USD</t>
        </is>
      </c>
      <c r="K82" s="6" t="inlineStr">
        <is>
          <t>Notional</t>
        </is>
      </c>
      <c r="L82" s="6" t="b">
        <v>1</v>
      </c>
      <c r="M82" s="6" t="n">
        <v>0</v>
      </c>
      <c r="N82" s="6" t="n"/>
      <c r="O82" s="6" t="b">
        <v>0</v>
      </c>
      <c r="P82" s="6" t="b">
        <v>1</v>
      </c>
      <c r="S82" s="6" t="inlineStr">
        <is>
          <t>Price</t>
        </is>
      </c>
      <c r="T82" s="6" t="inlineStr">
        <is>
          <t>Price</t>
        </is>
      </c>
      <c r="U82" s="6" t="inlineStr">
        <is>
          <t>PAY</t>
        </is>
      </c>
      <c r="V82" s="6" t="n"/>
      <c r="W82" s="6" t="inlineStr">
        <is>
          <t>Price:USD</t>
        </is>
      </c>
      <c r="X82" s="6" t="n"/>
      <c r="Y82" s="6" t="n"/>
      <c r="Z82" s="5" t="inlineStr">
        <is>
          <t>Instrument</t>
        </is>
      </c>
      <c r="AA82" s="4">
        <f>SCRIPTCALIBRATIONINSTRUMENT.NEW("ptirds-5",AA81,,DATE(2023,3,15))</f>
        <v/>
      </c>
    </row>
    <row r="83">
      <c r="A83" s="6" t="inlineStr">
        <is>
          <t>Definition</t>
        </is>
      </c>
      <c r="B83" s="6" t="inlineStr">
        <is>
          <t>K</t>
        </is>
      </c>
      <c r="C83" s="6" t="inlineStr">
        <is>
          <t>0.0121</t>
        </is>
      </c>
      <c r="E83" s="6" t="inlineStr">
        <is>
          <t>result_currency</t>
        </is>
      </c>
      <c r="F83" s="6" t="inlineStr">
        <is>
          <t>USD</t>
        </is>
      </c>
      <c r="H83" s="6" t="inlineStr">
        <is>
          <t>K</t>
        </is>
      </c>
      <c r="I83" s="6" t="inlineStr">
        <is>
          <t>Real</t>
        </is>
      </c>
      <c r="J83" s="6" t="inlineStr">
        <is>
          <t>Rate</t>
        </is>
      </c>
      <c r="K83" s="6" t="inlineStr">
        <is>
          <t>Coupon</t>
        </is>
      </c>
      <c r="L83" s="6" t="b">
        <v>1</v>
      </c>
      <c r="M83" s="6" t="n"/>
      <c r="N83" s="6" t="n"/>
      <c r="O83" s="6" t="b">
        <v>1</v>
      </c>
      <c r="P83" s="6" t="b">
        <v>1</v>
      </c>
      <c r="S83" s="6" t="inlineStr">
        <is>
          <t>ParRate</t>
        </is>
      </c>
      <c r="T83" s="6" t="inlineStr">
        <is>
          <t>ParAffineRate</t>
        </is>
      </c>
      <c r="U83" s="6" t="inlineStr">
        <is>
          <t>PAY</t>
        </is>
      </c>
      <c r="V83" s="6" t="inlineStr">
        <is>
          <t>K</t>
        </is>
      </c>
      <c r="W83" s="6" t="inlineStr">
        <is>
          <t>Rate</t>
        </is>
      </c>
      <c r="X83" s="6" t="n">
        <v>1</v>
      </c>
      <c r="Y83" s="6" t="n">
        <v>1e-12</v>
      </c>
      <c r="Z83" s="5" t="inlineStr">
        <is>
          <t>Quote</t>
        </is>
      </c>
      <c r="AA83" s="4">
        <f>CALIBRATIONMARKETQUOTE.NEW("ptirds-5-quote",0.0121,"Rate",)</f>
        <v/>
      </c>
    </row>
    <row r="84">
      <c r="A84" s="6" t="inlineStr">
        <is>
          <t>Event</t>
        </is>
      </c>
      <c r="B84" s="6" t="inlineStr">
        <is>
          <t>2023-03-15</t>
        </is>
      </c>
      <c r="C84" s="6" t="inlineStr">
        <is>
          <t>PAY PAYS N*(0.23013698630136986*K)</t>
        </is>
      </c>
      <c r="E84" s="6" t="inlineStr">
        <is>
          <t>collateral_currency</t>
        </is>
      </c>
      <c r="F84" s="6" t="inlineStr">
        <is>
          <t>USD</t>
        </is>
      </c>
      <c r="Z84" s="5" t="inlineStr">
        <is>
          <t>Observation</t>
        </is>
      </c>
      <c r="AA84" s="4">
        <f>CALIBRATIONOBSERVATION.NEW("ptirds-5-observation",AA82,"ParRate",AA83,1E-10)</f>
        <v/>
      </c>
    </row>
    <row r="85">
      <c r="A85" s="6" t="inlineStr">
        <is>
          <t>Event</t>
        </is>
      </c>
      <c r="B85" s="6" t="inlineStr">
        <is>
          <t>2023-03-15</t>
        </is>
      </c>
      <c r="C85" s="6" t="inlineStr">
        <is>
          <t>PAY PAYS N*(-0.23013698630136986*((1/FIX(IR[USD,DF,2023-03-15,2022-12-21],2022-12-21)-1)/0.23013698630136986))</t>
        </is>
      </c>
      <c r="E85" s="6" t="inlineStr">
        <is>
          <t>collateral_type</t>
        </is>
      </c>
      <c r="F85" s="6" t="inlineStr">
        <is>
          <t>OIS</t>
        </is>
      </c>
    </row>
    <row r="86">
      <c r="E86" s="6" t="inlineStr">
        <is>
          <t>receiver</t>
        </is>
      </c>
      <c r="F86" s="6" t="inlineStr">
        <is>
          <t>PAY</t>
        </is>
      </c>
    </row>
    <row r="87">
      <c r="E87" s="6" t="inlineStr">
        <is>
          <t>notional_parameter</t>
        </is>
      </c>
      <c r="F87" s="6" t="inlineStr">
        <is>
          <t>N</t>
        </is>
      </c>
    </row>
    <row r="88">
      <c r="E88" s="6" t="inlineStr">
        <is>
          <t>settlement</t>
        </is>
      </c>
      <c r="F88" s="6" t="inlineStr">
        <is>
          <t>AtEvent</t>
        </is>
      </c>
    </row>
    <row r="89">
      <c r="E89" s="6" t="inlineStr">
        <is>
          <t>valuation_cashflows</t>
        </is>
      </c>
      <c r="F89" s="6" t="inlineStr">
        <is>
          <t>IncludeUnsettledAtValuation</t>
        </is>
      </c>
    </row>
    <row r="90">
      <c r="E90" s="6" t="inlineStr">
        <is>
          <t>discount_route</t>
        </is>
      </c>
      <c r="F90" s="6" t="inlineStr">
        <is>
          <t>USD.OIS</t>
        </is>
      </c>
    </row>
    <row r="91">
      <c r="E91" s="6" t="inlineStr">
        <is>
          <t>convention_set</t>
        </is>
      </c>
      <c r="F91" s="6" t="inlineStr">
        <is>
          <t>dal.fixed-dates/1</t>
        </is>
      </c>
    </row>
    <row r="92"/>
    <row r="93"/>
    <row r="94"/>
    <row r="95">
      <c r="A95" s="1" t="inlineStr">
        <is>
          <t>ptirds-6 script definition</t>
        </is>
      </c>
    </row>
    <row r="96">
      <c r="A96" s="2" t="inlineStr">
        <is>
          <t>kind</t>
        </is>
      </c>
      <c r="B96" s="2" t="inlineStr">
        <is>
          <t>key</t>
        </is>
      </c>
      <c r="C96" s="2" t="inlineStr">
        <is>
          <t>text</t>
        </is>
      </c>
      <c r="E96" s="2" t="inlineStr">
        <is>
          <t>field</t>
        </is>
      </c>
      <c r="F96" s="2" t="inlineStr">
        <is>
          <t>value</t>
        </is>
      </c>
      <c r="H96" s="2" t="inlineStr">
        <is>
          <t>key</t>
        </is>
      </c>
      <c r="I96" s="2" t="inlineStr">
        <is>
          <t>type</t>
        </is>
      </c>
      <c r="J96" s="2" t="inlineStr">
        <is>
          <t>unit</t>
        </is>
      </c>
      <c r="K96" s="2" t="inlineStr">
        <is>
          <t>role</t>
        </is>
      </c>
      <c r="L96" s="2" t="inlineStr">
        <is>
          <t>bindable</t>
        </is>
      </c>
      <c r="M96" s="2" t="inlineStr">
        <is>
          <t>lower</t>
        </is>
      </c>
      <c r="N96" s="2" t="inlineStr">
        <is>
          <t>upper</t>
        </is>
      </c>
      <c r="O96" s="2" t="inlineStr">
        <is>
          <t>lower_inclusive</t>
        </is>
      </c>
      <c r="P96" s="2" t="inlineStr">
        <is>
          <t>upper_inclusive</t>
        </is>
      </c>
      <c r="S96" s="2" t="inlineStr">
        <is>
          <t>id</t>
        </is>
      </c>
      <c r="T96" s="2" t="inlineStr">
        <is>
          <t>kind</t>
        </is>
      </c>
      <c r="U96" s="2" t="inlineStr">
        <is>
          <t>receiver</t>
        </is>
      </c>
      <c r="V96" s="2" t="inlineStr">
        <is>
          <t>parameter</t>
        </is>
      </c>
      <c r="W96" s="2" t="inlineStr">
        <is>
          <t>unit</t>
        </is>
      </c>
      <c r="X96" s="2" t="inlineStr">
        <is>
          <t>annuity_sign</t>
        </is>
      </c>
      <c r="Y96" s="2" t="inlineStr">
        <is>
          <t>min_abs_annuity</t>
        </is>
      </c>
      <c r="Z96" s="5" t="inlineStr">
        <is>
          <t>Definition</t>
        </is>
      </c>
      <c r="AA96" s="4">
        <f>SCRIPTINSTRUMENTDEFINITION.NEW($A$96:$C$100,$E$96:$F$106,$H$96:$P$98,$S$96:$Y$98,)</f>
        <v/>
      </c>
    </row>
    <row r="97">
      <c r="A97" s="6" t="inlineStr">
        <is>
          <t>Definition</t>
        </is>
      </c>
      <c r="B97" s="6" t="inlineStr">
        <is>
          <t>N</t>
        </is>
      </c>
      <c r="C97" s="6" t="inlineStr">
        <is>
          <t>100</t>
        </is>
      </c>
      <c r="E97" s="6" t="inlineStr">
        <is>
          <t>pay_currency</t>
        </is>
      </c>
      <c r="F97" s="6" t="inlineStr">
        <is>
          <t>USD</t>
        </is>
      </c>
      <c r="H97" s="6" t="inlineStr">
        <is>
          <t>N</t>
        </is>
      </c>
      <c r="I97" s="6" t="inlineStr">
        <is>
          <t>Real</t>
        </is>
      </c>
      <c r="J97" s="6" t="inlineStr">
        <is>
          <t>Price:USD</t>
        </is>
      </c>
      <c r="K97" s="6" t="inlineStr">
        <is>
          <t>Notional</t>
        </is>
      </c>
      <c r="L97" s="6" t="b">
        <v>1</v>
      </c>
      <c r="M97" s="6" t="n">
        <v>0</v>
      </c>
      <c r="N97" s="6" t="n"/>
      <c r="O97" s="6" t="b">
        <v>0</v>
      </c>
      <c r="P97" s="6" t="b">
        <v>1</v>
      </c>
      <c r="S97" s="6" t="inlineStr">
        <is>
          <t>Price</t>
        </is>
      </c>
      <c r="T97" s="6" t="inlineStr">
        <is>
          <t>Price</t>
        </is>
      </c>
      <c r="U97" s="6" t="inlineStr">
        <is>
          <t>PAY</t>
        </is>
      </c>
      <c r="V97" s="6" t="n"/>
      <c r="W97" s="6" t="inlineStr">
        <is>
          <t>Price:USD</t>
        </is>
      </c>
      <c r="X97" s="6" t="n"/>
      <c r="Y97" s="6" t="n"/>
      <c r="Z97" s="5" t="inlineStr">
        <is>
          <t>Instrument</t>
        </is>
      </c>
      <c r="AA97" s="4">
        <f>SCRIPTCALIBRATIONINSTRUMENT.NEW("ptirds-6",AA96,,DATE(2023,6,21))</f>
        <v/>
      </c>
    </row>
    <row r="98">
      <c r="A98" s="6" t="inlineStr">
        <is>
          <t>Definition</t>
        </is>
      </c>
      <c r="B98" s="6" t="inlineStr">
        <is>
          <t>K</t>
        </is>
      </c>
      <c r="C98" s="6" t="inlineStr">
        <is>
          <t>0.0127</t>
        </is>
      </c>
      <c r="E98" s="6" t="inlineStr">
        <is>
          <t>result_currency</t>
        </is>
      </c>
      <c r="F98" s="6" t="inlineStr">
        <is>
          <t>USD</t>
        </is>
      </c>
      <c r="H98" s="6" t="inlineStr">
        <is>
          <t>K</t>
        </is>
      </c>
      <c r="I98" s="6" t="inlineStr">
        <is>
          <t>Real</t>
        </is>
      </c>
      <c r="J98" s="6" t="inlineStr">
        <is>
          <t>Rate</t>
        </is>
      </c>
      <c r="K98" s="6" t="inlineStr">
        <is>
          <t>Coupon</t>
        </is>
      </c>
      <c r="L98" s="6" t="b">
        <v>1</v>
      </c>
      <c r="M98" s="6" t="n"/>
      <c r="N98" s="6" t="n"/>
      <c r="O98" s="6" t="b">
        <v>1</v>
      </c>
      <c r="P98" s="6" t="b">
        <v>1</v>
      </c>
      <c r="S98" s="6" t="inlineStr">
        <is>
          <t>ParRate</t>
        </is>
      </c>
      <c r="T98" s="6" t="inlineStr">
        <is>
          <t>ParAffineRate</t>
        </is>
      </c>
      <c r="U98" s="6" t="inlineStr">
        <is>
          <t>PAY</t>
        </is>
      </c>
      <c r="V98" s="6" t="inlineStr">
        <is>
          <t>K</t>
        </is>
      </c>
      <c r="W98" s="6" t="inlineStr">
        <is>
          <t>Rate</t>
        </is>
      </c>
      <c r="X98" s="6" t="n">
        <v>1</v>
      </c>
      <c r="Y98" s="6" t="n">
        <v>1e-12</v>
      </c>
      <c r="Z98" s="5" t="inlineStr">
        <is>
          <t>Quote</t>
        </is>
      </c>
      <c r="AA98" s="4">
        <f>CALIBRATIONMARKETQUOTE.NEW("ptirds-6-quote",0.0127,"Rate",)</f>
        <v/>
      </c>
    </row>
    <row r="99">
      <c r="A99" s="6" t="inlineStr">
        <is>
          <t>Event</t>
        </is>
      </c>
      <c r="B99" s="6" t="inlineStr">
        <is>
          <t>2023-06-21</t>
        </is>
      </c>
      <c r="C99" s="6" t="inlineStr">
        <is>
          <t>PAY PAYS N*(0.2684931506849315*K)</t>
        </is>
      </c>
      <c r="E99" s="6" t="inlineStr">
        <is>
          <t>collateral_currency</t>
        </is>
      </c>
      <c r="F99" s="6" t="inlineStr">
        <is>
          <t>USD</t>
        </is>
      </c>
      <c r="Z99" s="5" t="inlineStr">
        <is>
          <t>Observation</t>
        </is>
      </c>
      <c r="AA99" s="4">
        <f>CALIBRATIONOBSERVATION.NEW("ptirds-6-observation",AA97,"ParRate",AA98,1E-10)</f>
        <v/>
      </c>
    </row>
    <row r="100">
      <c r="A100" s="6" t="inlineStr">
        <is>
          <t>Event</t>
        </is>
      </c>
      <c r="B100" s="6" t="inlineStr">
        <is>
          <t>2023-06-21</t>
        </is>
      </c>
      <c r="C100" s="6" t="inlineStr">
        <is>
          <t>PAY PAYS N*(-0.2684931506849315*((1/FIX(IR[USD,DF,2023-06-21,2023-03-15],2023-03-15)-1)/0.2684931506849315))</t>
        </is>
      </c>
      <c r="E100" s="6" t="inlineStr">
        <is>
          <t>collateral_type</t>
        </is>
      </c>
      <c r="F100" s="6" t="inlineStr">
        <is>
          <t>OIS</t>
        </is>
      </c>
    </row>
    <row r="101">
      <c r="E101" s="6" t="inlineStr">
        <is>
          <t>receiver</t>
        </is>
      </c>
      <c r="F101" s="6" t="inlineStr">
        <is>
          <t>PAY</t>
        </is>
      </c>
    </row>
    <row r="102">
      <c r="E102" s="6" t="inlineStr">
        <is>
          <t>notional_parameter</t>
        </is>
      </c>
      <c r="F102" s="6" t="inlineStr">
        <is>
          <t>N</t>
        </is>
      </c>
    </row>
    <row r="103">
      <c r="E103" s="6" t="inlineStr">
        <is>
          <t>settlement</t>
        </is>
      </c>
      <c r="F103" s="6" t="inlineStr">
        <is>
          <t>AtEvent</t>
        </is>
      </c>
    </row>
    <row r="104">
      <c r="E104" s="6" t="inlineStr">
        <is>
          <t>valuation_cashflows</t>
        </is>
      </c>
      <c r="F104" s="6" t="inlineStr">
        <is>
          <t>IncludeUnsettledAtValuation</t>
        </is>
      </c>
    </row>
    <row r="105">
      <c r="E105" s="6" t="inlineStr">
        <is>
          <t>discount_route</t>
        </is>
      </c>
      <c r="F105" s="6" t="inlineStr">
        <is>
          <t>USD.OIS</t>
        </is>
      </c>
    </row>
    <row r="106">
      <c r="E106" s="6" t="inlineStr">
        <is>
          <t>convention_set</t>
        </is>
      </c>
      <c r="F106" s="6" t="inlineStr">
        <is>
          <t>dal.fixed-dates/1</t>
        </is>
      </c>
    </row>
    <row r="107"/>
    <row r="108"/>
    <row r="109"/>
    <row r="110">
      <c r="A110" s="1" t="inlineStr">
        <is>
          <t>ptirds-7 script definition</t>
        </is>
      </c>
    </row>
    <row r="111">
      <c r="A111" s="2" t="inlineStr">
        <is>
          <t>kind</t>
        </is>
      </c>
      <c r="B111" s="2" t="inlineStr">
        <is>
          <t>key</t>
        </is>
      </c>
      <c r="C111" s="2" t="inlineStr">
        <is>
          <t>text</t>
        </is>
      </c>
      <c r="E111" s="2" t="inlineStr">
        <is>
          <t>field</t>
        </is>
      </c>
      <c r="F111" s="2" t="inlineStr">
        <is>
          <t>value</t>
        </is>
      </c>
      <c r="H111" s="2" t="inlineStr">
        <is>
          <t>key</t>
        </is>
      </c>
      <c r="I111" s="2" t="inlineStr">
        <is>
          <t>type</t>
        </is>
      </c>
      <c r="J111" s="2" t="inlineStr">
        <is>
          <t>unit</t>
        </is>
      </c>
      <c r="K111" s="2" t="inlineStr">
        <is>
          <t>role</t>
        </is>
      </c>
      <c r="L111" s="2" t="inlineStr">
        <is>
          <t>bindable</t>
        </is>
      </c>
      <c r="M111" s="2" t="inlineStr">
        <is>
          <t>lower</t>
        </is>
      </c>
      <c r="N111" s="2" t="inlineStr">
        <is>
          <t>upper</t>
        </is>
      </c>
      <c r="O111" s="2" t="inlineStr">
        <is>
          <t>lower_inclusive</t>
        </is>
      </c>
      <c r="P111" s="2" t="inlineStr">
        <is>
          <t>upper_inclusive</t>
        </is>
      </c>
      <c r="S111" s="2" t="inlineStr">
        <is>
          <t>id</t>
        </is>
      </c>
      <c r="T111" s="2" t="inlineStr">
        <is>
          <t>kind</t>
        </is>
      </c>
      <c r="U111" s="2" t="inlineStr">
        <is>
          <t>receiver</t>
        </is>
      </c>
      <c r="V111" s="2" t="inlineStr">
        <is>
          <t>parameter</t>
        </is>
      </c>
      <c r="W111" s="2" t="inlineStr">
        <is>
          <t>unit</t>
        </is>
      </c>
      <c r="X111" s="2" t="inlineStr">
        <is>
          <t>annuity_sign</t>
        </is>
      </c>
      <c r="Y111" s="2" t="inlineStr">
        <is>
          <t>min_abs_annuity</t>
        </is>
      </c>
      <c r="Z111" s="5" t="inlineStr">
        <is>
          <t>Definition</t>
        </is>
      </c>
      <c r="AA111" s="4">
        <f>SCRIPTINSTRUMENTDEFINITION.NEW($A$111:$C$115,$E$111:$F$121,$H$111:$P$113,$S$111:$Y$113,)</f>
        <v/>
      </c>
    </row>
    <row r="112">
      <c r="A112" s="6" t="inlineStr">
        <is>
          <t>Definition</t>
        </is>
      </c>
      <c r="B112" s="6" t="inlineStr">
        <is>
          <t>N</t>
        </is>
      </c>
      <c r="C112" s="6" t="inlineStr">
        <is>
          <t>100</t>
        </is>
      </c>
      <c r="E112" s="6" t="inlineStr">
        <is>
          <t>pay_currency</t>
        </is>
      </c>
      <c r="F112" s="6" t="inlineStr">
        <is>
          <t>USD</t>
        </is>
      </c>
      <c r="H112" s="6" t="inlineStr">
        <is>
          <t>N</t>
        </is>
      </c>
      <c r="I112" s="6" t="inlineStr">
        <is>
          <t>Real</t>
        </is>
      </c>
      <c r="J112" s="6" t="inlineStr">
        <is>
          <t>Price:USD</t>
        </is>
      </c>
      <c r="K112" s="6" t="inlineStr">
        <is>
          <t>Notional</t>
        </is>
      </c>
      <c r="L112" s="6" t="b">
        <v>1</v>
      </c>
      <c r="M112" s="6" t="n">
        <v>0</v>
      </c>
      <c r="N112" s="6" t="n"/>
      <c r="O112" s="6" t="b">
        <v>0</v>
      </c>
      <c r="P112" s="6" t="b">
        <v>1</v>
      </c>
      <c r="S112" s="6" t="inlineStr">
        <is>
          <t>Price</t>
        </is>
      </c>
      <c r="T112" s="6" t="inlineStr">
        <is>
          <t>Price</t>
        </is>
      </c>
      <c r="U112" s="6" t="inlineStr">
        <is>
          <t>PAY</t>
        </is>
      </c>
      <c r="V112" s="6" t="n"/>
      <c r="W112" s="6" t="inlineStr">
        <is>
          <t>Price:USD</t>
        </is>
      </c>
      <c r="X112" s="6" t="n"/>
      <c r="Y112" s="6" t="n"/>
      <c r="Z112" s="5" t="inlineStr">
        <is>
          <t>Instrument</t>
        </is>
      </c>
      <c r="AA112" s="4">
        <f>SCRIPTCALIBRATIONINSTRUMENT.NEW("ptirds-7",AA111,,DATE(2023,9,20))</f>
        <v/>
      </c>
    </row>
    <row r="113">
      <c r="A113" s="6" t="inlineStr">
        <is>
          <t>Definition</t>
        </is>
      </c>
      <c r="B113" s="6" t="inlineStr">
        <is>
          <t>K</t>
        </is>
      </c>
      <c r="C113" s="6" t="inlineStr">
        <is>
          <t>0.014499999999999999</t>
        </is>
      </c>
      <c r="E113" s="6" t="inlineStr">
        <is>
          <t>result_currency</t>
        </is>
      </c>
      <c r="F113" s="6" t="inlineStr">
        <is>
          <t>USD</t>
        </is>
      </c>
      <c r="H113" s="6" t="inlineStr">
        <is>
          <t>K</t>
        </is>
      </c>
      <c r="I113" s="6" t="inlineStr">
        <is>
          <t>Real</t>
        </is>
      </c>
      <c r="J113" s="6" t="inlineStr">
        <is>
          <t>Rate</t>
        </is>
      </c>
      <c r="K113" s="6" t="inlineStr">
        <is>
          <t>Coupon</t>
        </is>
      </c>
      <c r="L113" s="6" t="b">
        <v>1</v>
      </c>
      <c r="M113" s="6" t="n"/>
      <c r="N113" s="6" t="n"/>
      <c r="O113" s="6" t="b">
        <v>1</v>
      </c>
      <c r="P113" s="6" t="b">
        <v>1</v>
      </c>
      <c r="S113" s="6" t="inlineStr">
        <is>
          <t>ParRate</t>
        </is>
      </c>
      <c r="T113" s="6" t="inlineStr">
        <is>
          <t>ParAffineRate</t>
        </is>
      </c>
      <c r="U113" s="6" t="inlineStr">
        <is>
          <t>PAY</t>
        </is>
      </c>
      <c r="V113" s="6" t="inlineStr">
        <is>
          <t>K</t>
        </is>
      </c>
      <c r="W113" s="6" t="inlineStr">
        <is>
          <t>Rate</t>
        </is>
      </c>
      <c r="X113" s="6" t="n">
        <v>1</v>
      </c>
      <c r="Y113" s="6" t="n">
        <v>1e-12</v>
      </c>
      <c r="Z113" s="5" t="inlineStr">
        <is>
          <t>Quote</t>
        </is>
      </c>
      <c r="AA113" s="4">
        <f>CALIBRATIONMARKETQUOTE.NEW("ptirds-7-quote",0.014499999999999999,"Rate",)</f>
        <v/>
      </c>
    </row>
    <row r="114">
      <c r="A114" s="6" t="inlineStr">
        <is>
          <t>Event</t>
        </is>
      </c>
      <c r="B114" s="6" t="inlineStr">
        <is>
          <t>2023-09-20</t>
        </is>
      </c>
      <c r="C114" s="6" t="inlineStr">
        <is>
          <t>PAY PAYS N*(0.2493150684931507*K)</t>
        </is>
      </c>
      <c r="E114" s="6" t="inlineStr">
        <is>
          <t>collateral_currency</t>
        </is>
      </c>
      <c r="F114" s="6" t="inlineStr">
        <is>
          <t>USD</t>
        </is>
      </c>
      <c r="Z114" s="5" t="inlineStr">
        <is>
          <t>Observation</t>
        </is>
      </c>
      <c r="AA114" s="4">
        <f>CALIBRATIONOBSERVATION.NEW("ptirds-7-observation",AA112,"ParRate",AA113,1E-10)</f>
        <v/>
      </c>
    </row>
    <row r="115">
      <c r="A115" s="6" t="inlineStr">
        <is>
          <t>Event</t>
        </is>
      </c>
      <c r="B115" s="6" t="inlineStr">
        <is>
          <t>2023-09-20</t>
        </is>
      </c>
      <c r="C115" s="6" t="inlineStr">
        <is>
          <t>PAY PAYS N*(-0.2493150684931507*((1/FIX(IR[USD,DF,2023-09-20,2023-06-21],2023-06-21)-1)/0.2493150684931507))</t>
        </is>
      </c>
      <c r="E115" s="6" t="inlineStr">
        <is>
          <t>collateral_type</t>
        </is>
      </c>
      <c r="F115" s="6" t="inlineStr">
        <is>
          <t>OIS</t>
        </is>
      </c>
    </row>
    <row r="116">
      <c r="E116" s="6" t="inlineStr">
        <is>
          <t>receiver</t>
        </is>
      </c>
      <c r="F116" s="6" t="inlineStr">
        <is>
          <t>PAY</t>
        </is>
      </c>
    </row>
    <row r="117">
      <c r="E117" s="6" t="inlineStr">
        <is>
          <t>notional_parameter</t>
        </is>
      </c>
      <c r="F117" s="6" t="inlineStr">
        <is>
          <t>N</t>
        </is>
      </c>
    </row>
    <row r="118">
      <c r="E118" s="6" t="inlineStr">
        <is>
          <t>settlement</t>
        </is>
      </c>
      <c r="F118" s="6" t="inlineStr">
        <is>
          <t>AtEvent</t>
        </is>
      </c>
    </row>
    <row r="119">
      <c r="E119" s="6" t="inlineStr">
        <is>
          <t>valuation_cashflows</t>
        </is>
      </c>
      <c r="F119" s="6" t="inlineStr">
        <is>
          <t>IncludeUnsettledAtValuation</t>
        </is>
      </c>
    </row>
    <row r="120">
      <c r="E120" s="6" t="inlineStr">
        <is>
          <t>discount_route</t>
        </is>
      </c>
      <c r="F120" s="6" t="inlineStr">
        <is>
          <t>USD.OIS</t>
        </is>
      </c>
    </row>
    <row r="121">
      <c r="E121" s="6" t="inlineStr">
        <is>
          <t>convention_set</t>
        </is>
      </c>
      <c r="F121" s="6" t="inlineStr">
        <is>
          <t>dal.fixed-dates/1</t>
        </is>
      </c>
    </row>
    <row r="122"/>
    <row r="123"/>
    <row r="124"/>
    <row r="125">
      <c r="A125" s="1" t="inlineStr">
        <is>
          <t>ptirds-8 script definition</t>
        </is>
      </c>
    </row>
    <row r="126">
      <c r="A126" s="2" t="inlineStr">
        <is>
          <t>kind</t>
        </is>
      </c>
      <c r="B126" s="2" t="inlineStr">
        <is>
          <t>key</t>
        </is>
      </c>
      <c r="C126" s="2" t="inlineStr">
        <is>
          <t>text</t>
        </is>
      </c>
      <c r="E126" s="2" t="inlineStr">
        <is>
          <t>field</t>
        </is>
      </c>
      <c r="F126" s="2" t="inlineStr">
        <is>
          <t>value</t>
        </is>
      </c>
      <c r="H126" s="2" t="inlineStr">
        <is>
          <t>key</t>
        </is>
      </c>
      <c r="I126" s="2" t="inlineStr">
        <is>
          <t>type</t>
        </is>
      </c>
      <c r="J126" s="2" t="inlineStr">
        <is>
          <t>unit</t>
        </is>
      </c>
      <c r="K126" s="2" t="inlineStr">
        <is>
          <t>role</t>
        </is>
      </c>
      <c r="L126" s="2" t="inlineStr">
        <is>
          <t>bindable</t>
        </is>
      </c>
      <c r="M126" s="2" t="inlineStr">
        <is>
          <t>lower</t>
        </is>
      </c>
      <c r="N126" s="2" t="inlineStr">
        <is>
          <t>upper</t>
        </is>
      </c>
      <c r="O126" s="2" t="inlineStr">
        <is>
          <t>lower_inclusive</t>
        </is>
      </c>
      <c r="P126" s="2" t="inlineStr">
        <is>
          <t>upper_inclusive</t>
        </is>
      </c>
      <c r="S126" s="2" t="inlineStr">
        <is>
          <t>id</t>
        </is>
      </c>
      <c r="T126" s="2" t="inlineStr">
        <is>
          <t>kind</t>
        </is>
      </c>
      <c r="U126" s="2" t="inlineStr">
        <is>
          <t>receiver</t>
        </is>
      </c>
      <c r="V126" s="2" t="inlineStr">
        <is>
          <t>parameter</t>
        </is>
      </c>
      <c r="W126" s="2" t="inlineStr">
        <is>
          <t>unit</t>
        </is>
      </c>
      <c r="X126" s="2" t="inlineStr">
        <is>
          <t>annuity_sign</t>
        </is>
      </c>
      <c r="Y126" s="2" t="inlineStr">
        <is>
          <t>min_abs_annuity</t>
        </is>
      </c>
      <c r="Z126" s="5" t="inlineStr">
        <is>
          <t>Definition</t>
        </is>
      </c>
      <c r="AA126" s="4">
        <f>SCRIPTINSTRUMENTDEFINITION.NEW($A$126:$C$130,$E$126:$F$136,$H$126:$P$128,$S$126:$Y$128,)</f>
        <v/>
      </c>
    </row>
    <row r="127">
      <c r="A127" s="6" t="inlineStr">
        <is>
          <t>Definition</t>
        </is>
      </c>
      <c r="B127" s="6" t="inlineStr">
        <is>
          <t>N</t>
        </is>
      </c>
      <c r="C127" s="6" t="inlineStr">
        <is>
          <t>100</t>
        </is>
      </c>
      <c r="E127" s="6" t="inlineStr">
        <is>
          <t>pay_currency</t>
        </is>
      </c>
      <c r="F127" s="6" t="inlineStr">
        <is>
          <t>USD</t>
        </is>
      </c>
      <c r="H127" s="6" t="inlineStr">
        <is>
          <t>N</t>
        </is>
      </c>
      <c r="I127" s="6" t="inlineStr">
        <is>
          <t>Real</t>
        </is>
      </c>
      <c r="J127" s="6" t="inlineStr">
        <is>
          <t>Price:USD</t>
        </is>
      </c>
      <c r="K127" s="6" t="inlineStr">
        <is>
          <t>Notional</t>
        </is>
      </c>
      <c r="L127" s="6" t="b">
        <v>1</v>
      </c>
      <c r="M127" s="6" t="n">
        <v>0</v>
      </c>
      <c r="N127" s="6" t="n"/>
      <c r="O127" s="6" t="b">
        <v>0</v>
      </c>
      <c r="P127" s="6" t="b">
        <v>1</v>
      </c>
      <c r="S127" s="6" t="inlineStr">
        <is>
          <t>Price</t>
        </is>
      </c>
      <c r="T127" s="6" t="inlineStr">
        <is>
          <t>Price</t>
        </is>
      </c>
      <c r="U127" s="6" t="inlineStr">
        <is>
          <t>PAY</t>
        </is>
      </c>
      <c r="V127" s="6" t="n"/>
      <c r="W127" s="6" t="inlineStr">
        <is>
          <t>Price:USD</t>
        </is>
      </c>
      <c r="X127" s="6" t="n"/>
      <c r="Y127" s="6" t="n"/>
      <c r="Z127" s="5" t="inlineStr">
        <is>
          <t>Instrument</t>
        </is>
      </c>
      <c r="AA127" s="4">
        <f>SCRIPTCALIBRATIONINSTRUMENT.NEW("ptirds-8",AA126,,DATE(2023,12,20))</f>
        <v/>
      </c>
    </row>
    <row r="128">
      <c r="A128" s="6" t="inlineStr">
        <is>
          <t>Definition</t>
        </is>
      </c>
      <c r="B128" s="6" t="inlineStr">
        <is>
          <t>K</t>
        </is>
      </c>
      <c r="C128" s="6" t="inlineStr">
        <is>
          <t>0.0168</t>
        </is>
      </c>
      <c r="E128" s="6" t="inlineStr">
        <is>
          <t>result_currency</t>
        </is>
      </c>
      <c r="F128" s="6" t="inlineStr">
        <is>
          <t>USD</t>
        </is>
      </c>
      <c r="H128" s="6" t="inlineStr">
        <is>
          <t>K</t>
        </is>
      </c>
      <c r="I128" s="6" t="inlineStr">
        <is>
          <t>Real</t>
        </is>
      </c>
      <c r="J128" s="6" t="inlineStr">
        <is>
          <t>Rate</t>
        </is>
      </c>
      <c r="K128" s="6" t="inlineStr">
        <is>
          <t>Coupon</t>
        </is>
      </c>
      <c r="L128" s="6" t="b">
        <v>1</v>
      </c>
      <c r="M128" s="6" t="n"/>
      <c r="N128" s="6" t="n"/>
      <c r="O128" s="6" t="b">
        <v>1</v>
      </c>
      <c r="P128" s="6" t="b">
        <v>1</v>
      </c>
      <c r="S128" s="6" t="inlineStr">
        <is>
          <t>ParRate</t>
        </is>
      </c>
      <c r="T128" s="6" t="inlineStr">
        <is>
          <t>ParAffineRate</t>
        </is>
      </c>
      <c r="U128" s="6" t="inlineStr">
        <is>
          <t>PAY</t>
        </is>
      </c>
      <c r="V128" s="6" t="inlineStr">
        <is>
          <t>K</t>
        </is>
      </c>
      <c r="W128" s="6" t="inlineStr">
        <is>
          <t>Rate</t>
        </is>
      </c>
      <c r="X128" s="6" t="n">
        <v>1</v>
      </c>
      <c r="Y128" s="6" t="n">
        <v>1e-12</v>
      </c>
      <c r="Z128" s="5" t="inlineStr">
        <is>
          <t>Quote</t>
        </is>
      </c>
      <c r="AA128" s="4">
        <f>CALIBRATIONMARKETQUOTE.NEW("ptirds-8-quote",0.0168,"Rate",)</f>
        <v/>
      </c>
    </row>
    <row r="129">
      <c r="A129" s="6" t="inlineStr">
        <is>
          <t>Event</t>
        </is>
      </c>
      <c r="B129" s="6" t="inlineStr">
        <is>
          <t>2023-12-20</t>
        </is>
      </c>
      <c r="C129" s="6" t="inlineStr">
        <is>
          <t>PAY PAYS N*(0.2493150684931507*K)</t>
        </is>
      </c>
      <c r="E129" s="6" t="inlineStr">
        <is>
          <t>collateral_currency</t>
        </is>
      </c>
      <c r="F129" s="6" t="inlineStr">
        <is>
          <t>USD</t>
        </is>
      </c>
      <c r="Z129" s="5" t="inlineStr">
        <is>
          <t>Observation</t>
        </is>
      </c>
      <c r="AA129" s="4">
        <f>CALIBRATIONOBSERVATION.NEW("ptirds-8-observation",AA127,"ParRate",AA128,1E-10)</f>
        <v/>
      </c>
    </row>
    <row r="130">
      <c r="A130" s="6" t="inlineStr">
        <is>
          <t>Event</t>
        </is>
      </c>
      <c r="B130" s="6" t="inlineStr">
        <is>
          <t>2023-12-20</t>
        </is>
      </c>
      <c r="C130" s="6" t="inlineStr">
        <is>
          <t>PAY PAYS N*(-0.2493150684931507*((1/FIX(IR[USD,DF,2023-12-20,2023-09-20],2023-09-20)-1)/0.2493150684931507))</t>
        </is>
      </c>
      <c r="E130" s="6" t="inlineStr">
        <is>
          <t>collateral_type</t>
        </is>
      </c>
      <c r="F130" s="6" t="inlineStr">
        <is>
          <t>OIS</t>
        </is>
      </c>
    </row>
    <row r="131">
      <c r="E131" s="6" t="inlineStr">
        <is>
          <t>receiver</t>
        </is>
      </c>
      <c r="F131" s="6" t="inlineStr">
        <is>
          <t>PAY</t>
        </is>
      </c>
    </row>
    <row r="132">
      <c r="E132" s="6" t="inlineStr">
        <is>
          <t>notional_parameter</t>
        </is>
      </c>
      <c r="F132" s="6" t="inlineStr">
        <is>
          <t>N</t>
        </is>
      </c>
    </row>
    <row r="133">
      <c r="E133" s="6" t="inlineStr">
        <is>
          <t>settlement</t>
        </is>
      </c>
      <c r="F133" s="6" t="inlineStr">
        <is>
          <t>AtEvent</t>
        </is>
      </c>
    </row>
    <row r="134">
      <c r="E134" s="6" t="inlineStr">
        <is>
          <t>valuation_cashflows</t>
        </is>
      </c>
      <c r="F134" s="6" t="inlineStr">
        <is>
          <t>IncludeUnsettledAtValuation</t>
        </is>
      </c>
    </row>
    <row r="135">
      <c r="E135" s="6" t="inlineStr">
        <is>
          <t>discount_route</t>
        </is>
      </c>
      <c r="F135" s="6" t="inlineStr">
        <is>
          <t>USD.OIS</t>
        </is>
      </c>
    </row>
    <row r="136">
      <c r="E136" s="6" t="inlineStr">
        <is>
          <t>convention_set</t>
        </is>
      </c>
      <c r="F136" s="6" t="inlineStr">
        <is>
          <t>dal.fixed-dates/1</t>
        </is>
      </c>
    </row>
    <row r="137"/>
    <row r="138"/>
    <row r="139"/>
    <row r="140">
      <c r="A140" s="1" t="inlineStr">
        <is>
          <t>ptirds-9 script definition</t>
        </is>
      </c>
    </row>
    <row r="141">
      <c r="A141" s="2" t="inlineStr">
        <is>
          <t>kind</t>
        </is>
      </c>
      <c r="B141" s="2" t="inlineStr">
        <is>
          <t>key</t>
        </is>
      </c>
      <c r="C141" s="2" t="inlineStr">
        <is>
          <t>text</t>
        </is>
      </c>
      <c r="E141" s="2" t="inlineStr">
        <is>
          <t>field</t>
        </is>
      </c>
      <c r="F141" s="2" t="inlineStr">
        <is>
          <t>value</t>
        </is>
      </c>
      <c r="H141" s="2" t="inlineStr">
        <is>
          <t>key</t>
        </is>
      </c>
      <c r="I141" s="2" t="inlineStr">
        <is>
          <t>type</t>
        </is>
      </c>
      <c r="J141" s="2" t="inlineStr">
        <is>
          <t>unit</t>
        </is>
      </c>
      <c r="K141" s="2" t="inlineStr">
        <is>
          <t>role</t>
        </is>
      </c>
      <c r="L141" s="2" t="inlineStr">
        <is>
          <t>bindable</t>
        </is>
      </c>
      <c r="M141" s="2" t="inlineStr">
        <is>
          <t>lower</t>
        </is>
      </c>
      <c r="N141" s="2" t="inlineStr">
        <is>
          <t>upper</t>
        </is>
      </c>
      <c r="O141" s="2" t="inlineStr">
        <is>
          <t>lower_inclusive</t>
        </is>
      </c>
      <c r="P141" s="2" t="inlineStr">
        <is>
          <t>upper_inclusive</t>
        </is>
      </c>
      <c r="S141" s="2" t="inlineStr">
        <is>
          <t>id</t>
        </is>
      </c>
      <c r="T141" s="2" t="inlineStr">
        <is>
          <t>kind</t>
        </is>
      </c>
      <c r="U141" s="2" t="inlineStr">
        <is>
          <t>receiver</t>
        </is>
      </c>
      <c r="V141" s="2" t="inlineStr">
        <is>
          <t>parameter</t>
        </is>
      </c>
      <c r="W141" s="2" t="inlineStr">
        <is>
          <t>unit</t>
        </is>
      </c>
      <c r="X141" s="2" t="inlineStr">
        <is>
          <t>annuity_sign</t>
        </is>
      </c>
      <c r="Y141" s="2" t="inlineStr">
        <is>
          <t>min_abs_annuity</t>
        </is>
      </c>
      <c r="Z141" s="5" t="inlineStr">
        <is>
          <t>Definition</t>
        </is>
      </c>
      <c r="AA141" s="4">
        <f>SCRIPTINSTRUMENTDEFINITION.NEW($A$141:$C$145,$E$141:$F$151,$H$141:$P$143,$S$141:$Y$143,)</f>
        <v/>
      </c>
    </row>
    <row r="142">
      <c r="A142" s="6" t="inlineStr">
        <is>
          <t>Definition</t>
        </is>
      </c>
      <c r="B142" s="6" t="inlineStr">
        <is>
          <t>N</t>
        </is>
      </c>
      <c r="C142" s="6" t="inlineStr">
        <is>
          <t>100</t>
        </is>
      </c>
      <c r="E142" s="6" t="inlineStr">
        <is>
          <t>pay_currency</t>
        </is>
      </c>
      <c r="F142" s="6" t="inlineStr">
        <is>
          <t>USD</t>
        </is>
      </c>
      <c r="H142" s="6" t="inlineStr">
        <is>
          <t>N</t>
        </is>
      </c>
      <c r="I142" s="6" t="inlineStr">
        <is>
          <t>Real</t>
        </is>
      </c>
      <c r="J142" s="6" t="inlineStr">
        <is>
          <t>Price:USD</t>
        </is>
      </c>
      <c r="K142" s="6" t="inlineStr">
        <is>
          <t>Notional</t>
        </is>
      </c>
      <c r="L142" s="6" t="b">
        <v>1</v>
      </c>
      <c r="M142" s="6" t="n">
        <v>0</v>
      </c>
      <c r="N142" s="6" t="n"/>
      <c r="O142" s="6" t="b">
        <v>0</v>
      </c>
      <c r="P142" s="6" t="b">
        <v>1</v>
      </c>
      <c r="S142" s="6" t="inlineStr">
        <is>
          <t>Price</t>
        </is>
      </c>
      <c r="T142" s="6" t="inlineStr">
        <is>
          <t>Price</t>
        </is>
      </c>
      <c r="U142" s="6" t="inlineStr">
        <is>
          <t>PAY</t>
        </is>
      </c>
      <c r="V142" s="6" t="n"/>
      <c r="W142" s="6" t="inlineStr">
        <is>
          <t>Price:USD</t>
        </is>
      </c>
      <c r="X142" s="6" t="n"/>
      <c r="Y142" s="6" t="n"/>
      <c r="Z142" s="5" t="inlineStr">
        <is>
          <t>Instrument</t>
        </is>
      </c>
      <c r="AA142" s="4">
        <f>SCRIPTCALIBRATIONINSTRUMENT.NEW("ptirds-9",AA141,,DATE(2024,3,15))</f>
        <v/>
      </c>
    </row>
    <row r="143">
      <c r="A143" s="6" t="inlineStr">
        <is>
          <t>Definition</t>
        </is>
      </c>
      <c r="B143" s="6" t="inlineStr">
        <is>
          <t>K</t>
        </is>
      </c>
      <c r="C143" s="6" t="inlineStr">
        <is>
          <t>0.0192</t>
        </is>
      </c>
      <c r="E143" s="6" t="inlineStr">
        <is>
          <t>result_currency</t>
        </is>
      </c>
      <c r="F143" s="6" t="inlineStr">
        <is>
          <t>USD</t>
        </is>
      </c>
      <c r="H143" s="6" t="inlineStr">
        <is>
          <t>K</t>
        </is>
      </c>
      <c r="I143" s="6" t="inlineStr">
        <is>
          <t>Real</t>
        </is>
      </c>
      <c r="J143" s="6" t="inlineStr">
        <is>
          <t>Rate</t>
        </is>
      </c>
      <c r="K143" s="6" t="inlineStr">
        <is>
          <t>Coupon</t>
        </is>
      </c>
      <c r="L143" s="6" t="b">
        <v>1</v>
      </c>
      <c r="M143" s="6" t="n"/>
      <c r="N143" s="6" t="n"/>
      <c r="O143" s="6" t="b">
        <v>1</v>
      </c>
      <c r="P143" s="6" t="b">
        <v>1</v>
      </c>
      <c r="S143" s="6" t="inlineStr">
        <is>
          <t>ParRate</t>
        </is>
      </c>
      <c r="T143" s="6" t="inlineStr">
        <is>
          <t>ParAffineRate</t>
        </is>
      </c>
      <c r="U143" s="6" t="inlineStr">
        <is>
          <t>PAY</t>
        </is>
      </c>
      <c r="V143" s="6" t="inlineStr">
        <is>
          <t>K</t>
        </is>
      </c>
      <c r="W143" s="6" t="inlineStr">
        <is>
          <t>Rate</t>
        </is>
      </c>
      <c r="X143" s="6" t="n">
        <v>1</v>
      </c>
      <c r="Y143" s="6" t="n">
        <v>1e-12</v>
      </c>
      <c r="Z143" s="5" t="inlineStr">
        <is>
          <t>Quote</t>
        </is>
      </c>
      <c r="AA143" s="4">
        <f>CALIBRATIONMARKETQUOTE.NEW("ptirds-9-quote",0.0192,"Rate",)</f>
        <v/>
      </c>
    </row>
    <row r="144">
      <c r="A144" s="6" t="inlineStr">
        <is>
          <t>Event</t>
        </is>
      </c>
      <c r="B144" s="6" t="inlineStr">
        <is>
          <t>2024-03-15</t>
        </is>
      </c>
      <c r="C144" s="6" t="inlineStr">
        <is>
          <t>PAY PAYS N*(0.2356164383561644*K)</t>
        </is>
      </c>
      <c r="E144" s="6" t="inlineStr">
        <is>
          <t>collateral_currency</t>
        </is>
      </c>
      <c r="F144" s="6" t="inlineStr">
        <is>
          <t>USD</t>
        </is>
      </c>
      <c r="Z144" s="5" t="inlineStr">
        <is>
          <t>Observation</t>
        </is>
      </c>
      <c r="AA144" s="4">
        <f>CALIBRATIONOBSERVATION.NEW("ptirds-9-observation",AA142,"ParRate",AA143,1E-10)</f>
        <v/>
      </c>
    </row>
    <row r="145">
      <c r="A145" s="6" t="inlineStr">
        <is>
          <t>Event</t>
        </is>
      </c>
      <c r="B145" s="6" t="inlineStr">
        <is>
          <t>2024-03-15</t>
        </is>
      </c>
      <c r="C145" s="6" t="inlineStr">
        <is>
          <t>PAY PAYS N*(-0.2356164383561644*((1/FIX(IR[USD,DF,2024-03-15,2023-12-20],2023-12-20)-1)/0.2356164383561644))</t>
        </is>
      </c>
      <c r="E145" s="6" t="inlineStr">
        <is>
          <t>collateral_type</t>
        </is>
      </c>
      <c r="F145" s="6" t="inlineStr">
        <is>
          <t>OIS</t>
        </is>
      </c>
    </row>
    <row r="146">
      <c r="E146" s="6" t="inlineStr">
        <is>
          <t>receiver</t>
        </is>
      </c>
      <c r="F146" s="6" t="inlineStr">
        <is>
          <t>PAY</t>
        </is>
      </c>
    </row>
    <row r="147">
      <c r="E147" s="6" t="inlineStr">
        <is>
          <t>notional_parameter</t>
        </is>
      </c>
      <c r="F147" s="6" t="inlineStr">
        <is>
          <t>N</t>
        </is>
      </c>
    </row>
    <row r="148">
      <c r="E148" s="6" t="inlineStr">
        <is>
          <t>settlement</t>
        </is>
      </c>
      <c r="F148" s="6" t="inlineStr">
        <is>
          <t>AtEvent</t>
        </is>
      </c>
    </row>
    <row r="149">
      <c r="E149" s="6" t="inlineStr">
        <is>
          <t>valuation_cashflows</t>
        </is>
      </c>
      <c r="F149" s="6" t="inlineStr">
        <is>
          <t>IncludeUnsettledAtValuation</t>
        </is>
      </c>
    </row>
    <row r="150">
      <c r="E150" s="6" t="inlineStr">
        <is>
          <t>discount_route</t>
        </is>
      </c>
      <c r="F150" s="6" t="inlineStr">
        <is>
          <t>USD.OIS</t>
        </is>
      </c>
    </row>
    <row r="151">
      <c r="E151" s="6" t="inlineStr">
        <is>
          <t>convention_set</t>
        </is>
      </c>
      <c r="F151" s="6" t="inlineStr">
        <is>
          <t>dal.fixed-dates/1</t>
        </is>
      </c>
    </row>
    <row r="152"/>
    <row r="153"/>
    <row r="154"/>
    <row r="155">
      <c r="A155" s="1" t="inlineStr">
        <is>
          <t>ptirds-10 script definition</t>
        </is>
      </c>
    </row>
    <row r="156">
      <c r="A156" s="2" t="inlineStr">
        <is>
          <t>kind</t>
        </is>
      </c>
      <c r="B156" s="2" t="inlineStr">
        <is>
          <t>key</t>
        </is>
      </c>
      <c r="C156" s="2" t="inlineStr">
        <is>
          <t>text</t>
        </is>
      </c>
      <c r="E156" s="2" t="inlineStr">
        <is>
          <t>field</t>
        </is>
      </c>
      <c r="F156" s="2" t="inlineStr">
        <is>
          <t>value</t>
        </is>
      </c>
      <c r="H156" s="2" t="inlineStr">
        <is>
          <t>key</t>
        </is>
      </c>
      <c r="I156" s="2" t="inlineStr">
        <is>
          <t>type</t>
        </is>
      </c>
      <c r="J156" s="2" t="inlineStr">
        <is>
          <t>unit</t>
        </is>
      </c>
      <c r="K156" s="2" t="inlineStr">
        <is>
          <t>role</t>
        </is>
      </c>
      <c r="L156" s="2" t="inlineStr">
        <is>
          <t>bindable</t>
        </is>
      </c>
      <c r="M156" s="2" t="inlineStr">
        <is>
          <t>lower</t>
        </is>
      </c>
      <c r="N156" s="2" t="inlineStr">
        <is>
          <t>upper</t>
        </is>
      </c>
      <c r="O156" s="2" t="inlineStr">
        <is>
          <t>lower_inclusive</t>
        </is>
      </c>
      <c r="P156" s="2" t="inlineStr">
        <is>
          <t>upper_inclusive</t>
        </is>
      </c>
      <c r="S156" s="2" t="inlineStr">
        <is>
          <t>id</t>
        </is>
      </c>
      <c r="T156" s="2" t="inlineStr">
        <is>
          <t>kind</t>
        </is>
      </c>
      <c r="U156" s="2" t="inlineStr">
        <is>
          <t>receiver</t>
        </is>
      </c>
      <c r="V156" s="2" t="inlineStr">
        <is>
          <t>parameter</t>
        </is>
      </c>
      <c r="W156" s="2" t="inlineStr">
        <is>
          <t>unit</t>
        </is>
      </c>
      <c r="X156" s="2" t="inlineStr">
        <is>
          <t>annuity_sign</t>
        </is>
      </c>
      <c r="Y156" s="2" t="inlineStr">
        <is>
          <t>min_abs_annuity</t>
        </is>
      </c>
      <c r="Z156" s="5" t="inlineStr">
        <is>
          <t>Definition</t>
        </is>
      </c>
      <c r="AA156" s="4">
        <f>SCRIPTINSTRUMENTDEFINITION.NEW($A$156:$C$164,$E$156:$F$166,$H$156:$P$158,$S$156:$Y$158,)</f>
        <v/>
      </c>
    </row>
    <row r="157">
      <c r="A157" s="6" t="inlineStr">
        <is>
          <t>Definition</t>
        </is>
      </c>
      <c r="B157" s="6" t="inlineStr">
        <is>
          <t>N</t>
        </is>
      </c>
      <c r="C157" s="6" t="inlineStr">
        <is>
          <t>100</t>
        </is>
      </c>
      <c r="E157" s="6" t="inlineStr">
        <is>
          <t>pay_currency</t>
        </is>
      </c>
      <c r="F157" s="6" t="inlineStr">
        <is>
          <t>USD</t>
        </is>
      </c>
      <c r="H157" s="6" t="inlineStr">
        <is>
          <t>N</t>
        </is>
      </c>
      <c r="I157" s="6" t="inlineStr">
        <is>
          <t>Real</t>
        </is>
      </c>
      <c r="J157" s="6" t="inlineStr">
        <is>
          <t>Price:USD</t>
        </is>
      </c>
      <c r="K157" s="6" t="inlineStr">
        <is>
          <t>Notional</t>
        </is>
      </c>
      <c r="L157" s="6" t="b">
        <v>1</v>
      </c>
      <c r="M157" s="6" t="n">
        <v>0</v>
      </c>
      <c r="N157" s="6" t="n"/>
      <c r="O157" s="6" t="b">
        <v>0</v>
      </c>
      <c r="P157" s="6" t="b">
        <v>1</v>
      </c>
      <c r="S157" s="6" t="inlineStr">
        <is>
          <t>Price</t>
        </is>
      </c>
      <c r="T157" s="6" t="inlineStr">
        <is>
          <t>Price</t>
        </is>
      </c>
      <c r="U157" s="6" t="inlineStr">
        <is>
          <t>PAY</t>
        </is>
      </c>
      <c r="V157" s="6" t="n"/>
      <c r="W157" s="6" t="inlineStr">
        <is>
          <t>Price:USD</t>
        </is>
      </c>
      <c r="X157" s="6" t="n"/>
      <c r="Y157" s="6" t="n"/>
      <c r="Z157" s="5" t="inlineStr">
        <is>
          <t>Instrument</t>
        </is>
      </c>
      <c r="AA157" s="4">
        <f>SCRIPTCALIBRATIONINSTRUMENT.NEW("ptirds-10",AA156,,DATE(2025,1,1))</f>
        <v/>
      </c>
    </row>
    <row r="158">
      <c r="A158" s="6" t="inlineStr">
        <is>
          <t>Definition</t>
        </is>
      </c>
      <c r="B158" s="6" t="inlineStr">
        <is>
          <t>K</t>
        </is>
      </c>
      <c r="C158" s="6" t="inlineStr">
        <is>
          <t>0.0168</t>
        </is>
      </c>
      <c r="E158" s="6" t="inlineStr">
        <is>
          <t>result_currency</t>
        </is>
      </c>
      <c r="F158" s="6" t="inlineStr">
        <is>
          <t>USD</t>
        </is>
      </c>
      <c r="H158" s="6" t="inlineStr">
        <is>
          <t>K</t>
        </is>
      </c>
      <c r="I158" s="6" t="inlineStr">
        <is>
          <t>Real</t>
        </is>
      </c>
      <c r="J158" s="6" t="inlineStr">
        <is>
          <t>Rate</t>
        </is>
      </c>
      <c r="K158" s="6" t="inlineStr">
        <is>
          <t>Coupon</t>
        </is>
      </c>
      <c r="L158" s="6" t="b">
        <v>1</v>
      </c>
      <c r="M158" s="6" t="n"/>
      <c r="N158" s="6" t="n"/>
      <c r="O158" s="6" t="b">
        <v>1</v>
      </c>
      <c r="P158" s="6" t="b">
        <v>1</v>
      </c>
      <c r="S158" s="6" t="inlineStr">
        <is>
          <t>ParRate</t>
        </is>
      </c>
      <c r="T158" s="6" t="inlineStr">
        <is>
          <t>ParAffineRate</t>
        </is>
      </c>
      <c r="U158" s="6" t="inlineStr">
        <is>
          <t>PAY</t>
        </is>
      </c>
      <c r="V158" s="6" t="inlineStr">
        <is>
          <t>K</t>
        </is>
      </c>
      <c r="W158" s="6" t="inlineStr">
        <is>
          <t>Rate</t>
        </is>
      </c>
      <c r="X158" s="6" t="n">
        <v>1</v>
      </c>
      <c r="Y158" s="6" t="n">
        <v>1e-12</v>
      </c>
      <c r="Z158" s="5" t="inlineStr">
        <is>
          <t>Quote</t>
        </is>
      </c>
      <c r="AA158" s="4">
        <f>CALIBRATIONMARKETQUOTE.NEW("ptirds-10-quote",0.0168,"Rate",)</f>
        <v/>
      </c>
    </row>
    <row r="159">
      <c r="A159" s="6" t="inlineStr">
        <is>
          <t>Event</t>
        </is>
      </c>
      <c r="B159" s="6" t="inlineStr">
        <is>
          <t>2023-01-01</t>
        </is>
      </c>
      <c r="C159" s="6" t="inlineStr">
        <is>
          <t>PAY PAYS N*(1*K)</t>
        </is>
      </c>
      <c r="E159" s="6" t="inlineStr">
        <is>
          <t>collateral_currency</t>
        </is>
      </c>
      <c r="F159" s="6" t="inlineStr">
        <is>
          <t>USD</t>
        </is>
      </c>
      <c r="Z159" s="5" t="inlineStr">
        <is>
          <t>Observation</t>
        </is>
      </c>
      <c r="AA159" s="4">
        <f>CALIBRATIONOBSERVATION.NEW("ptirds-10-observation",AA157,"ParRate",AA158,1E-10)</f>
        <v/>
      </c>
    </row>
    <row r="160">
      <c r="A160" s="6" t="inlineStr">
        <is>
          <t>Event</t>
        </is>
      </c>
      <c r="B160" s="6" t="inlineStr">
        <is>
          <t>2024-01-01</t>
        </is>
      </c>
      <c r="C160" s="6" t="inlineStr">
        <is>
          <t>PAY PAYS N*(1*K)</t>
        </is>
      </c>
      <c r="E160" s="6" t="inlineStr">
        <is>
          <t>collateral_type</t>
        </is>
      </c>
      <c r="F160" s="6" t="inlineStr">
        <is>
          <t>OIS</t>
        </is>
      </c>
    </row>
    <row r="161">
      <c r="A161" s="6" t="inlineStr">
        <is>
          <t>Event</t>
        </is>
      </c>
      <c r="B161" s="6" t="inlineStr">
        <is>
          <t>2025-01-01</t>
        </is>
      </c>
      <c r="C161" s="6" t="inlineStr">
        <is>
          <t>PAY PAYS N*(1.0027397260273974*K)</t>
        </is>
      </c>
      <c r="E161" s="6" t="inlineStr">
        <is>
          <t>receiver</t>
        </is>
      </c>
      <c r="F161" s="6" t="inlineStr">
        <is>
          <t>PAY</t>
        </is>
      </c>
    </row>
    <row r="162">
      <c r="A162" s="6" t="inlineStr">
        <is>
          <t>Event</t>
        </is>
      </c>
      <c r="B162" s="6" t="inlineStr">
        <is>
          <t>2023-01-01</t>
        </is>
      </c>
      <c r="C162" s="6" t="inlineStr">
        <is>
          <t>PAY PAYS N*(-1*((1/FIX(IR[USD,DF,2023-01-01,2022-01-01],2022-01-01)-1)/1))</t>
        </is>
      </c>
      <c r="E162" s="6" t="inlineStr">
        <is>
          <t>notional_parameter</t>
        </is>
      </c>
      <c r="F162" s="6" t="inlineStr">
        <is>
          <t>N</t>
        </is>
      </c>
    </row>
    <row r="163">
      <c r="A163" s="6" t="inlineStr">
        <is>
          <t>Event</t>
        </is>
      </c>
      <c r="B163" s="6" t="inlineStr">
        <is>
          <t>2024-01-01</t>
        </is>
      </c>
      <c r="C163" s="6" t="inlineStr">
        <is>
          <t>PAY PAYS N*(-1*((1/FIX(IR[USD,DF,2024-01-01,2023-01-01],2023-01-01)-1)/1))</t>
        </is>
      </c>
      <c r="E163" s="6" t="inlineStr">
        <is>
          <t>settlement</t>
        </is>
      </c>
      <c r="F163" s="6" t="inlineStr">
        <is>
          <t>AtEvent</t>
        </is>
      </c>
    </row>
    <row r="164">
      <c r="A164" s="6" t="inlineStr">
        <is>
          <t>Event</t>
        </is>
      </c>
      <c r="B164" s="6" t="inlineStr">
        <is>
          <t>2025-01-01</t>
        </is>
      </c>
      <c r="C164" s="6" t="inlineStr">
        <is>
          <t>PAY PAYS N*(-1.0027397260273974*((1/FIX(IR[USD,DF,2025-01-01,2024-01-01],2024-01-01)-1)/1.0027397260273974))</t>
        </is>
      </c>
      <c r="E164" s="6" t="inlineStr">
        <is>
          <t>valuation_cashflows</t>
        </is>
      </c>
      <c r="F164" s="6" t="inlineStr">
        <is>
          <t>IncludeUnsettledAtValuation</t>
        </is>
      </c>
    </row>
    <row r="165">
      <c r="E165" s="6" t="inlineStr">
        <is>
          <t>discount_route</t>
        </is>
      </c>
      <c r="F165" s="6" t="inlineStr">
        <is>
          <t>USD.OIS</t>
        </is>
      </c>
    </row>
    <row r="166">
      <c r="E166" s="6" t="inlineStr">
        <is>
          <t>convention_set</t>
        </is>
      </c>
      <c r="F166" s="6" t="inlineStr">
        <is>
          <t>dal.fixed-dates/1</t>
        </is>
      </c>
    </row>
    <row r="167"/>
    <row r="168"/>
    <row r="169"/>
    <row r="170">
      <c r="A170" s="1" t="inlineStr">
        <is>
          <t>ptirds-11 script definition</t>
        </is>
      </c>
    </row>
    <row r="171">
      <c r="A171" s="2" t="inlineStr">
        <is>
          <t>kind</t>
        </is>
      </c>
      <c r="B171" s="2" t="inlineStr">
        <is>
          <t>key</t>
        </is>
      </c>
      <c r="C171" s="2" t="inlineStr">
        <is>
          <t>text</t>
        </is>
      </c>
      <c r="E171" s="2" t="inlineStr">
        <is>
          <t>field</t>
        </is>
      </c>
      <c r="F171" s="2" t="inlineStr">
        <is>
          <t>value</t>
        </is>
      </c>
      <c r="H171" s="2" t="inlineStr">
        <is>
          <t>key</t>
        </is>
      </c>
      <c r="I171" s="2" t="inlineStr">
        <is>
          <t>type</t>
        </is>
      </c>
      <c r="J171" s="2" t="inlineStr">
        <is>
          <t>unit</t>
        </is>
      </c>
      <c r="K171" s="2" t="inlineStr">
        <is>
          <t>role</t>
        </is>
      </c>
      <c r="L171" s="2" t="inlineStr">
        <is>
          <t>bindable</t>
        </is>
      </c>
      <c r="M171" s="2" t="inlineStr">
        <is>
          <t>lower</t>
        </is>
      </c>
      <c r="N171" s="2" t="inlineStr">
        <is>
          <t>upper</t>
        </is>
      </c>
      <c r="O171" s="2" t="inlineStr">
        <is>
          <t>lower_inclusive</t>
        </is>
      </c>
      <c r="P171" s="2" t="inlineStr">
        <is>
          <t>upper_inclusive</t>
        </is>
      </c>
      <c r="S171" s="2" t="inlineStr">
        <is>
          <t>id</t>
        </is>
      </c>
      <c r="T171" s="2" t="inlineStr">
        <is>
          <t>kind</t>
        </is>
      </c>
      <c r="U171" s="2" t="inlineStr">
        <is>
          <t>receiver</t>
        </is>
      </c>
      <c r="V171" s="2" t="inlineStr">
        <is>
          <t>parameter</t>
        </is>
      </c>
      <c r="W171" s="2" t="inlineStr">
        <is>
          <t>unit</t>
        </is>
      </c>
      <c r="X171" s="2" t="inlineStr">
        <is>
          <t>annuity_sign</t>
        </is>
      </c>
      <c r="Y171" s="2" t="inlineStr">
        <is>
          <t>min_abs_annuity</t>
        </is>
      </c>
      <c r="Z171" s="5" t="inlineStr">
        <is>
          <t>Definition</t>
        </is>
      </c>
      <c r="AA171" s="4">
        <f>SCRIPTINSTRUMENTDEFINITION.NEW($A$171:$C$183,$E$171:$F$181,$H$171:$P$173,$S$171:$Y$173,)</f>
        <v/>
      </c>
    </row>
    <row r="172">
      <c r="A172" s="6" t="inlineStr">
        <is>
          <t>Definition</t>
        </is>
      </c>
      <c r="B172" s="6" t="inlineStr">
        <is>
          <t>N</t>
        </is>
      </c>
      <c r="C172" s="6" t="inlineStr">
        <is>
          <t>100</t>
        </is>
      </c>
      <c r="E172" s="6" t="inlineStr">
        <is>
          <t>pay_currency</t>
        </is>
      </c>
      <c r="F172" s="6" t="inlineStr">
        <is>
          <t>USD</t>
        </is>
      </c>
      <c r="H172" s="6" t="inlineStr">
        <is>
          <t>N</t>
        </is>
      </c>
      <c r="I172" s="6" t="inlineStr">
        <is>
          <t>Real</t>
        </is>
      </c>
      <c r="J172" s="6" t="inlineStr">
        <is>
          <t>Price:USD</t>
        </is>
      </c>
      <c r="K172" s="6" t="inlineStr">
        <is>
          <t>Notional</t>
        </is>
      </c>
      <c r="L172" s="6" t="b">
        <v>1</v>
      </c>
      <c r="M172" s="6" t="n">
        <v>0</v>
      </c>
      <c r="N172" s="6" t="n"/>
      <c r="O172" s="6" t="b">
        <v>0</v>
      </c>
      <c r="P172" s="6" t="b">
        <v>1</v>
      </c>
      <c r="S172" s="6" t="inlineStr">
        <is>
          <t>Price</t>
        </is>
      </c>
      <c r="T172" s="6" t="inlineStr">
        <is>
          <t>Price</t>
        </is>
      </c>
      <c r="U172" s="6" t="inlineStr">
        <is>
          <t>PAY</t>
        </is>
      </c>
      <c r="V172" s="6" t="n"/>
      <c r="W172" s="6" t="inlineStr">
        <is>
          <t>Price:USD</t>
        </is>
      </c>
      <c r="X172" s="6" t="n"/>
      <c r="Y172" s="6" t="n"/>
      <c r="Z172" s="5" t="inlineStr">
        <is>
          <t>Instrument</t>
        </is>
      </c>
      <c r="AA172" s="4">
        <f>SCRIPTCALIBRATIONINSTRUMENT.NEW("ptirds-11",AA171,,DATE(2027,1,1))</f>
        <v/>
      </c>
    </row>
    <row r="173">
      <c r="A173" s="6" t="inlineStr">
        <is>
          <t>Definition</t>
        </is>
      </c>
      <c r="B173" s="6" t="inlineStr">
        <is>
          <t>K</t>
        </is>
      </c>
      <c r="C173" s="6" t="inlineStr">
        <is>
          <t>0.021</t>
        </is>
      </c>
      <c r="E173" s="6" t="inlineStr">
        <is>
          <t>result_currency</t>
        </is>
      </c>
      <c r="F173" s="6" t="inlineStr">
        <is>
          <t>USD</t>
        </is>
      </c>
      <c r="H173" s="6" t="inlineStr">
        <is>
          <t>K</t>
        </is>
      </c>
      <c r="I173" s="6" t="inlineStr">
        <is>
          <t>Real</t>
        </is>
      </c>
      <c r="J173" s="6" t="inlineStr">
        <is>
          <t>Rate</t>
        </is>
      </c>
      <c r="K173" s="6" t="inlineStr">
        <is>
          <t>Coupon</t>
        </is>
      </c>
      <c r="L173" s="6" t="b">
        <v>1</v>
      </c>
      <c r="M173" s="6" t="n"/>
      <c r="N173" s="6" t="n"/>
      <c r="O173" s="6" t="b">
        <v>1</v>
      </c>
      <c r="P173" s="6" t="b">
        <v>1</v>
      </c>
      <c r="S173" s="6" t="inlineStr">
        <is>
          <t>ParRate</t>
        </is>
      </c>
      <c r="T173" s="6" t="inlineStr">
        <is>
          <t>ParAffineRate</t>
        </is>
      </c>
      <c r="U173" s="6" t="inlineStr">
        <is>
          <t>PAY</t>
        </is>
      </c>
      <c r="V173" s="6" t="inlineStr">
        <is>
          <t>K</t>
        </is>
      </c>
      <c r="W173" s="6" t="inlineStr">
        <is>
          <t>Rate</t>
        </is>
      </c>
      <c r="X173" s="6" t="n">
        <v>1</v>
      </c>
      <c r="Y173" s="6" t="n">
        <v>1e-12</v>
      </c>
      <c r="Z173" s="5" t="inlineStr">
        <is>
          <t>Quote</t>
        </is>
      </c>
      <c r="AA173" s="4">
        <f>CALIBRATIONMARKETQUOTE.NEW("ptirds-11-quote",0.021,"Rate",)</f>
        <v/>
      </c>
    </row>
    <row r="174">
      <c r="A174" s="6" t="inlineStr">
        <is>
          <t>Event</t>
        </is>
      </c>
      <c r="B174" s="6" t="inlineStr">
        <is>
          <t>2023-01-01</t>
        </is>
      </c>
      <c r="C174" s="6" t="inlineStr">
        <is>
          <t>PAY PAYS N*(1*K)</t>
        </is>
      </c>
      <c r="E174" s="6" t="inlineStr">
        <is>
          <t>collateral_currency</t>
        </is>
      </c>
      <c r="F174" s="6" t="inlineStr">
        <is>
          <t>USD</t>
        </is>
      </c>
      <c r="Z174" s="5" t="inlineStr">
        <is>
          <t>Observation</t>
        </is>
      </c>
      <c r="AA174" s="4">
        <f>CALIBRATIONOBSERVATION.NEW("ptirds-11-observation",AA172,"ParRate",AA173,1E-10)</f>
        <v/>
      </c>
    </row>
    <row r="175">
      <c r="A175" s="6" t="inlineStr">
        <is>
          <t>Event</t>
        </is>
      </c>
      <c r="B175" s="6" t="inlineStr">
        <is>
          <t>2024-01-01</t>
        </is>
      </c>
      <c r="C175" s="6" t="inlineStr">
        <is>
          <t>PAY PAYS N*(1*K)</t>
        </is>
      </c>
      <c r="E175" s="6" t="inlineStr">
        <is>
          <t>collateral_type</t>
        </is>
      </c>
      <c r="F175" s="6" t="inlineStr">
        <is>
          <t>OIS</t>
        </is>
      </c>
    </row>
    <row r="176">
      <c r="A176" s="6" t="inlineStr">
        <is>
          <t>Event</t>
        </is>
      </c>
      <c r="B176" s="6" t="inlineStr">
        <is>
          <t>2025-01-01</t>
        </is>
      </c>
      <c r="C176" s="6" t="inlineStr">
        <is>
          <t>PAY PAYS N*(1.0027397260273974*K)</t>
        </is>
      </c>
      <c r="E176" s="6" t="inlineStr">
        <is>
          <t>receiver</t>
        </is>
      </c>
      <c r="F176" s="6" t="inlineStr">
        <is>
          <t>PAY</t>
        </is>
      </c>
    </row>
    <row r="177">
      <c r="A177" s="6" t="inlineStr">
        <is>
          <t>Event</t>
        </is>
      </c>
      <c r="B177" s="6" t="inlineStr">
        <is>
          <t>2026-01-01</t>
        </is>
      </c>
      <c r="C177" s="6" t="inlineStr">
        <is>
          <t>PAY PAYS N*(1*K)</t>
        </is>
      </c>
      <c r="E177" s="6" t="inlineStr">
        <is>
          <t>notional_parameter</t>
        </is>
      </c>
      <c r="F177" s="6" t="inlineStr">
        <is>
          <t>N</t>
        </is>
      </c>
    </row>
    <row r="178">
      <c r="A178" s="6" t="inlineStr">
        <is>
          <t>Event</t>
        </is>
      </c>
      <c r="B178" s="6" t="inlineStr">
        <is>
          <t>2027-01-01</t>
        </is>
      </c>
      <c r="C178" s="6" t="inlineStr">
        <is>
          <t>PAY PAYS N*(1*K)</t>
        </is>
      </c>
      <c r="E178" s="6" t="inlineStr">
        <is>
          <t>settlement</t>
        </is>
      </c>
      <c r="F178" s="6" t="inlineStr">
        <is>
          <t>AtEvent</t>
        </is>
      </c>
    </row>
    <row r="179">
      <c r="A179" s="6" t="inlineStr">
        <is>
          <t>Event</t>
        </is>
      </c>
      <c r="B179" s="6" t="inlineStr">
        <is>
          <t>2023-01-01</t>
        </is>
      </c>
      <c r="C179" s="6" t="inlineStr">
        <is>
          <t>PAY PAYS N*(-1*((1/FIX(IR[USD,DF,2023-01-01,2022-01-01],2022-01-01)-1)/1))</t>
        </is>
      </c>
      <c r="E179" s="6" t="inlineStr">
        <is>
          <t>valuation_cashflows</t>
        </is>
      </c>
      <c r="F179" s="6" t="inlineStr">
        <is>
          <t>IncludeUnsettledAtValuation</t>
        </is>
      </c>
    </row>
    <row r="180">
      <c r="A180" s="6" t="inlineStr">
        <is>
          <t>Event</t>
        </is>
      </c>
      <c r="B180" s="6" t="inlineStr">
        <is>
          <t>2024-01-01</t>
        </is>
      </c>
      <c r="C180" s="6" t="inlineStr">
        <is>
          <t>PAY PAYS N*(-1*((1/FIX(IR[USD,DF,2024-01-01,2023-01-01],2023-01-01)-1)/1))</t>
        </is>
      </c>
      <c r="E180" s="6" t="inlineStr">
        <is>
          <t>discount_route</t>
        </is>
      </c>
      <c r="F180" s="6" t="inlineStr">
        <is>
          <t>USD.OIS</t>
        </is>
      </c>
    </row>
    <row r="181">
      <c r="A181" s="6" t="inlineStr">
        <is>
          <t>Event</t>
        </is>
      </c>
      <c r="B181" s="6" t="inlineStr">
        <is>
          <t>2025-01-01</t>
        </is>
      </c>
      <c r="C181" s="6" t="inlineStr">
        <is>
          <t>PAY PAYS N*(-1.0027397260273974*((1/FIX(IR[USD,DF,2025-01-01,2024-01-01],2024-01-01)-1)/1.0027397260273974))</t>
        </is>
      </c>
      <c r="E181" s="6" t="inlineStr">
        <is>
          <t>convention_set</t>
        </is>
      </c>
      <c r="F181" s="6" t="inlineStr">
        <is>
          <t>dal.fixed-dates/1</t>
        </is>
      </c>
    </row>
    <row r="182">
      <c r="A182" s="6" t="inlineStr">
        <is>
          <t>Event</t>
        </is>
      </c>
      <c r="B182" s="6" t="inlineStr">
        <is>
          <t>2026-01-01</t>
        </is>
      </c>
      <c r="C182" s="6" t="inlineStr">
        <is>
          <t>PAY PAYS N*(-1*((1/FIX(IR[USD,DF,2026-01-01,2025-01-01],2025-01-01)-1)/1))</t>
        </is>
      </c>
    </row>
    <row r="183">
      <c r="A183" s="6" t="inlineStr">
        <is>
          <t>Event</t>
        </is>
      </c>
      <c r="B183" s="6" t="inlineStr">
        <is>
          <t>2027-01-01</t>
        </is>
      </c>
      <c r="C183" s="6" t="inlineStr">
        <is>
          <t>PAY PAYS N*(-1*((1/FIX(IR[USD,DF,2027-01-01,2026-01-01],2026-01-01)-1)/1))</t>
        </is>
      </c>
    </row>
    <row r="184"/>
    <row r="185"/>
    <row r="186"/>
    <row r="187">
      <c r="A187" s="1" t="inlineStr">
        <is>
          <t>ptirds-12 script definition</t>
        </is>
      </c>
    </row>
    <row r="188">
      <c r="A188" s="2" t="inlineStr">
        <is>
          <t>kind</t>
        </is>
      </c>
      <c r="B188" s="2" t="inlineStr">
        <is>
          <t>key</t>
        </is>
      </c>
      <c r="C188" s="2" t="inlineStr">
        <is>
          <t>text</t>
        </is>
      </c>
      <c r="E188" s="2" t="inlineStr">
        <is>
          <t>field</t>
        </is>
      </c>
      <c r="F188" s="2" t="inlineStr">
        <is>
          <t>value</t>
        </is>
      </c>
      <c r="H188" s="2" t="inlineStr">
        <is>
          <t>key</t>
        </is>
      </c>
      <c r="I188" s="2" t="inlineStr">
        <is>
          <t>type</t>
        </is>
      </c>
      <c r="J188" s="2" t="inlineStr">
        <is>
          <t>unit</t>
        </is>
      </c>
      <c r="K188" s="2" t="inlineStr">
        <is>
          <t>role</t>
        </is>
      </c>
      <c r="L188" s="2" t="inlineStr">
        <is>
          <t>bindable</t>
        </is>
      </c>
      <c r="M188" s="2" t="inlineStr">
        <is>
          <t>lower</t>
        </is>
      </c>
      <c r="N188" s="2" t="inlineStr">
        <is>
          <t>upper</t>
        </is>
      </c>
      <c r="O188" s="2" t="inlineStr">
        <is>
          <t>lower_inclusive</t>
        </is>
      </c>
      <c r="P188" s="2" t="inlineStr">
        <is>
          <t>upper_inclusive</t>
        </is>
      </c>
      <c r="S188" s="2" t="inlineStr">
        <is>
          <t>id</t>
        </is>
      </c>
      <c r="T188" s="2" t="inlineStr">
        <is>
          <t>kind</t>
        </is>
      </c>
      <c r="U188" s="2" t="inlineStr">
        <is>
          <t>receiver</t>
        </is>
      </c>
      <c r="V188" s="2" t="inlineStr">
        <is>
          <t>parameter</t>
        </is>
      </c>
      <c r="W188" s="2" t="inlineStr">
        <is>
          <t>unit</t>
        </is>
      </c>
      <c r="X188" s="2" t="inlineStr">
        <is>
          <t>annuity_sign</t>
        </is>
      </c>
      <c r="Y188" s="2" t="inlineStr">
        <is>
          <t>min_abs_annuity</t>
        </is>
      </c>
      <c r="Z188" s="5" t="inlineStr">
        <is>
          <t>Definition</t>
        </is>
      </c>
      <c r="AA188" s="4">
        <f>SCRIPTINSTRUMENTDEFINITION.NEW($A$188:$C$204,$E$188:$F$198,$H$188:$P$190,$S$188:$Y$190,)</f>
        <v/>
      </c>
    </row>
    <row r="189">
      <c r="A189" s="6" t="inlineStr">
        <is>
          <t>Definition</t>
        </is>
      </c>
      <c r="B189" s="6" t="inlineStr">
        <is>
          <t>N</t>
        </is>
      </c>
      <c r="C189" s="6" t="inlineStr">
        <is>
          <t>100</t>
        </is>
      </c>
      <c r="E189" s="6" t="inlineStr">
        <is>
          <t>pay_currency</t>
        </is>
      </c>
      <c r="F189" s="6" t="inlineStr">
        <is>
          <t>USD</t>
        </is>
      </c>
      <c r="H189" s="6" t="inlineStr">
        <is>
          <t>N</t>
        </is>
      </c>
      <c r="I189" s="6" t="inlineStr">
        <is>
          <t>Real</t>
        </is>
      </c>
      <c r="J189" s="6" t="inlineStr">
        <is>
          <t>Price:USD</t>
        </is>
      </c>
      <c r="K189" s="6" t="inlineStr">
        <is>
          <t>Notional</t>
        </is>
      </c>
      <c r="L189" s="6" t="b">
        <v>1</v>
      </c>
      <c r="M189" s="6" t="n">
        <v>0</v>
      </c>
      <c r="N189" s="6" t="n"/>
      <c r="O189" s="6" t="b">
        <v>0</v>
      </c>
      <c r="P189" s="6" t="b">
        <v>1</v>
      </c>
      <c r="S189" s="6" t="inlineStr">
        <is>
          <t>Price</t>
        </is>
      </c>
      <c r="T189" s="6" t="inlineStr">
        <is>
          <t>Price</t>
        </is>
      </c>
      <c r="U189" s="6" t="inlineStr">
        <is>
          <t>PAY</t>
        </is>
      </c>
      <c r="V189" s="6" t="n"/>
      <c r="W189" s="6" t="inlineStr">
        <is>
          <t>Price:USD</t>
        </is>
      </c>
      <c r="X189" s="6" t="n"/>
      <c r="Y189" s="6" t="n"/>
      <c r="Z189" s="5" t="inlineStr">
        <is>
          <t>Instrument</t>
        </is>
      </c>
      <c r="AA189" s="4">
        <f>SCRIPTCALIBRATIONINSTRUMENT.NEW("ptirds-12",AA188,,DATE(2029,1,1))</f>
        <v/>
      </c>
    </row>
    <row r="190">
      <c r="A190" s="6" t="inlineStr">
        <is>
          <t>Definition</t>
        </is>
      </c>
      <c r="B190" s="6" t="inlineStr">
        <is>
          <t>K</t>
        </is>
      </c>
      <c r="C190" s="6" t="inlineStr">
        <is>
          <t>0.022000000000000002</t>
        </is>
      </c>
      <c r="E190" s="6" t="inlineStr">
        <is>
          <t>result_currency</t>
        </is>
      </c>
      <c r="F190" s="6" t="inlineStr">
        <is>
          <t>USD</t>
        </is>
      </c>
      <c r="H190" s="6" t="inlineStr">
        <is>
          <t>K</t>
        </is>
      </c>
      <c r="I190" s="6" t="inlineStr">
        <is>
          <t>Real</t>
        </is>
      </c>
      <c r="J190" s="6" t="inlineStr">
        <is>
          <t>Rate</t>
        </is>
      </c>
      <c r="K190" s="6" t="inlineStr">
        <is>
          <t>Coupon</t>
        </is>
      </c>
      <c r="L190" s="6" t="b">
        <v>1</v>
      </c>
      <c r="M190" s="6" t="n"/>
      <c r="N190" s="6" t="n"/>
      <c r="O190" s="6" t="b">
        <v>1</v>
      </c>
      <c r="P190" s="6" t="b">
        <v>1</v>
      </c>
      <c r="S190" s="6" t="inlineStr">
        <is>
          <t>ParRate</t>
        </is>
      </c>
      <c r="T190" s="6" t="inlineStr">
        <is>
          <t>ParAffineRate</t>
        </is>
      </c>
      <c r="U190" s="6" t="inlineStr">
        <is>
          <t>PAY</t>
        </is>
      </c>
      <c r="V190" s="6" t="inlineStr">
        <is>
          <t>K</t>
        </is>
      </c>
      <c r="W190" s="6" t="inlineStr">
        <is>
          <t>Rate</t>
        </is>
      </c>
      <c r="X190" s="6" t="n">
        <v>1</v>
      </c>
      <c r="Y190" s="6" t="n">
        <v>1e-12</v>
      </c>
      <c r="Z190" s="5" t="inlineStr">
        <is>
          <t>Quote</t>
        </is>
      </c>
      <c r="AA190" s="4">
        <f>CALIBRATIONMARKETQUOTE.NEW("ptirds-12-quote",0.022000000000000002,"Rate",)</f>
        <v/>
      </c>
    </row>
    <row r="191">
      <c r="A191" s="6" t="inlineStr">
        <is>
          <t>Event</t>
        </is>
      </c>
      <c r="B191" s="6" t="inlineStr">
        <is>
          <t>2023-01-01</t>
        </is>
      </c>
      <c r="C191" s="6" t="inlineStr">
        <is>
          <t>PAY PAYS N*(1*K)</t>
        </is>
      </c>
      <c r="E191" s="6" t="inlineStr">
        <is>
          <t>collateral_currency</t>
        </is>
      </c>
      <c r="F191" s="6" t="inlineStr">
        <is>
          <t>USD</t>
        </is>
      </c>
      <c r="Z191" s="5" t="inlineStr">
        <is>
          <t>Observation</t>
        </is>
      </c>
      <c r="AA191" s="4">
        <f>CALIBRATIONOBSERVATION.NEW("ptirds-12-observation",AA189,"ParRate",AA190,1E-10)</f>
        <v/>
      </c>
    </row>
    <row r="192">
      <c r="A192" s="6" t="inlineStr">
        <is>
          <t>Event</t>
        </is>
      </c>
      <c r="B192" s="6" t="inlineStr">
        <is>
          <t>2024-01-01</t>
        </is>
      </c>
      <c r="C192" s="6" t="inlineStr">
        <is>
          <t>PAY PAYS N*(1*K)</t>
        </is>
      </c>
      <c r="E192" s="6" t="inlineStr">
        <is>
          <t>collateral_type</t>
        </is>
      </c>
      <c r="F192" s="6" t="inlineStr">
        <is>
          <t>OIS</t>
        </is>
      </c>
    </row>
    <row r="193">
      <c r="A193" s="6" t="inlineStr">
        <is>
          <t>Event</t>
        </is>
      </c>
      <c r="B193" s="6" t="inlineStr">
        <is>
          <t>2025-01-01</t>
        </is>
      </c>
      <c r="C193" s="6" t="inlineStr">
        <is>
          <t>PAY PAYS N*(1.0027397260273974*K)</t>
        </is>
      </c>
      <c r="E193" s="6" t="inlineStr">
        <is>
          <t>receiver</t>
        </is>
      </c>
      <c r="F193" s="6" t="inlineStr">
        <is>
          <t>PAY</t>
        </is>
      </c>
    </row>
    <row r="194">
      <c r="A194" s="6" t="inlineStr">
        <is>
          <t>Event</t>
        </is>
      </c>
      <c r="B194" s="6" t="inlineStr">
        <is>
          <t>2026-01-01</t>
        </is>
      </c>
      <c r="C194" s="6" t="inlineStr">
        <is>
          <t>PAY PAYS N*(1*K)</t>
        </is>
      </c>
      <c r="E194" s="6" t="inlineStr">
        <is>
          <t>notional_parameter</t>
        </is>
      </c>
      <c r="F194" s="6" t="inlineStr">
        <is>
          <t>N</t>
        </is>
      </c>
    </row>
    <row r="195">
      <c r="A195" s="6" t="inlineStr">
        <is>
          <t>Event</t>
        </is>
      </c>
      <c r="B195" s="6" t="inlineStr">
        <is>
          <t>2027-01-01</t>
        </is>
      </c>
      <c r="C195" s="6" t="inlineStr">
        <is>
          <t>PAY PAYS N*(1*K)</t>
        </is>
      </c>
      <c r="E195" s="6" t="inlineStr">
        <is>
          <t>settlement</t>
        </is>
      </c>
      <c r="F195" s="6" t="inlineStr">
        <is>
          <t>AtEvent</t>
        </is>
      </c>
    </row>
    <row r="196">
      <c r="A196" s="6" t="inlineStr">
        <is>
          <t>Event</t>
        </is>
      </c>
      <c r="B196" s="6" t="inlineStr">
        <is>
          <t>2028-01-01</t>
        </is>
      </c>
      <c r="C196" s="6" t="inlineStr">
        <is>
          <t>PAY PAYS N*(1*K)</t>
        </is>
      </c>
      <c r="E196" s="6" t="inlineStr">
        <is>
          <t>valuation_cashflows</t>
        </is>
      </c>
      <c r="F196" s="6" t="inlineStr">
        <is>
          <t>IncludeUnsettledAtValuation</t>
        </is>
      </c>
    </row>
    <row r="197">
      <c r="A197" s="6" t="inlineStr">
        <is>
          <t>Event</t>
        </is>
      </c>
      <c r="B197" s="6" t="inlineStr">
        <is>
          <t>2029-01-01</t>
        </is>
      </c>
      <c r="C197" s="6" t="inlineStr">
        <is>
          <t>PAY PAYS N*(1.0027397260273974*K)</t>
        </is>
      </c>
      <c r="E197" s="6" t="inlineStr">
        <is>
          <t>discount_route</t>
        </is>
      </c>
      <c r="F197" s="6" t="inlineStr">
        <is>
          <t>USD.OIS</t>
        </is>
      </c>
    </row>
    <row r="198">
      <c r="A198" s="6" t="inlineStr">
        <is>
          <t>Event</t>
        </is>
      </c>
      <c r="B198" s="6" t="inlineStr">
        <is>
          <t>2023-01-01</t>
        </is>
      </c>
      <c r="C198" s="6" t="inlineStr">
        <is>
          <t>PAY PAYS N*(-1*((1/FIX(IR[USD,DF,2023-01-01,2022-01-01],2022-01-01)-1)/1))</t>
        </is>
      </c>
      <c r="E198" s="6" t="inlineStr">
        <is>
          <t>convention_set</t>
        </is>
      </c>
      <c r="F198" s="6" t="inlineStr">
        <is>
          <t>dal.fixed-dates/1</t>
        </is>
      </c>
    </row>
    <row r="199">
      <c r="A199" s="6" t="inlineStr">
        <is>
          <t>Event</t>
        </is>
      </c>
      <c r="B199" s="6" t="inlineStr">
        <is>
          <t>2024-01-01</t>
        </is>
      </c>
      <c r="C199" s="6" t="inlineStr">
        <is>
          <t>PAY PAYS N*(-1*((1/FIX(IR[USD,DF,2024-01-01,2023-01-01],2023-01-01)-1)/1))</t>
        </is>
      </c>
    </row>
    <row r="200">
      <c r="A200" s="6" t="inlineStr">
        <is>
          <t>Event</t>
        </is>
      </c>
      <c r="B200" s="6" t="inlineStr">
        <is>
          <t>2025-01-01</t>
        </is>
      </c>
      <c r="C200" s="6" t="inlineStr">
        <is>
          <t>PAY PAYS N*(-1.0027397260273974*((1/FIX(IR[USD,DF,2025-01-01,2024-01-01],2024-01-01)-1)/1.0027397260273974))</t>
        </is>
      </c>
    </row>
    <row r="201">
      <c r="A201" s="6" t="inlineStr">
        <is>
          <t>Event</t>
        </is>
      </c>
      <c r="B201" s="6" t="inlineStr">
        <is>
          <t>2026-01-01</t>
        </is>
      </c>
      <c r="C201" s="6" t="inlineStr">
        <is>
          <t>PAY PAYS N*(-1*((1/FIX(IR[USD,DF,2026-01-01,2025-01-01],2025-01-01)-1)/1))</t>
        </is>
      </c>
    </row>
    <row r="202">
      <c r="A202" s="6" t="inlineStr">
        <is>
          <t>Event</t>
        </is>
      </c>
      <c r="B202" s="6" t="inlineStr">
        <is>
          <t>2027-01-01</t>
        </is>
      </c>
      <c r="C202" s="6" t="inlineStr">
        <is>
          <t>PAY PAYS N*(-1*((1/FIX(IR[USD,DF,2027-01-01,2026-01-01],2026-01-01)-1)/1))</t>
        </is>
      </c>
    </row>
    <row r="203">
      <c r="A203" s="6" t="inlineStr">
        <is>
          <t>Event</t>
        </is>
      </c>
      <c r="B203" s="6" t="inlineStr">
        <is>
          <t>2028-01-01</t>
        </is>
      </c>
      <c r="C203" s="6" t="inlineStr">
        <is>
          <t>PAY PAYS N*(-1*((1/FIX(IR[USD,DF,2028-01-01,2027-01-01],2027-01-01)-1)/1))</t>
        </is>
      </c>
    </row>
    <row r="204">
      <c r="A204" s="6" t="inlineStr">
        <is>
          <t>Event</t>
        </is>
      </c>
      <c r="B204" s="6" t="inlineStr">
        <is>
          <t>2029-01-01</t>
        </is>
      </c>
      <c r="C204" s="6" t="inlineStr">
        <is>
          <t>PAY PAYS N*(-1.0027397260273974*((1/FIX(IR[USD,DF,2029-01-01,2028-01-01],2028-01-01)-1)/1.0027397260273974))</t>
        </is>
      </c>
    </row>
    <row r="205"/>
    <row r="206"/>
    <row r="207"/>
    <row r="208">
      <c r="A208" s="1" t="inlineStr">
        <is>
          <t>ptirds-13 script definition</t>
        </is>
      </c>
    </row>
    <row r="209">
      <c r="A209" s="2" t="inlineStr">
        <is>
          <t>kind</t>
        </is>
      </c>
      <c r="B209" s="2" t="inlineStr">
        <is>
          <t>key</t>
        </is>
      </c>
      <c r="C209" s="2" t="inlineStr">
        <is>
          <t>text</t>
        </is>
      </c>
      <c r="E209" s="2" t="inlineStr">
        <is>
          <t>field</t>
        </is>
      </c>
      <c r="F209" s="2" t="inlineStr">
        <is>
          <t>value</t>
        </is>
      </c>
      <c r="H209" s="2" t="inlineStr">
        <is>
          <t>key</t>
        </is>
      </c>
      <c r="I209" s="2" t="inlineStr">
        <is>
          <t>type</t>
        </is>
      </c>
      <c r="J209" s="2" t="inlineStr">
        <is>
          <t>unit</t>
        </is>
      </c>
      <c r="K209" s="2" t="inlineStr">
        <is>
          <t>role</t>
        </is>
      </c>
      <c r="L209" s="2" t="inlineStr">
        <is>
          <t>bindable</t>
        </is>
      </c>
      <c r="M209" s="2" t="inlineStr">
        <is>
          <t>lower</t>
        </is>
      </c>
      <c r="N209" s="2" t="inlineStr">
        <is>
          <t>upper</t>
        </is>
      </c>
      <c r="O209" s="2" t="inlineStr">
        <is>
          <t>lower_inclusive</t>
        </is>
      </c>
      <c r="P209" s="2" t="inlineStr">
        <is>
          <t>upper_inclusive</t>
        </is>
      </c>
      <c r="S209" s="2" t="inlineStr">
        <is>
          <t>id</t>
        </is>
      </c>
      <c r="T209" s="2" t="inlineStr">
        <is>
          <t>kind</t>
        </is>
      </c>
      <c r="U209" s="2" t="inlineStr">
        <is>
          <t>receiver</t>
        </is>
      </c>
      <c r="V209" s="2" t="inlineStr">
        <is>
          <t>parameter</t>
        </is>
      </c>
      <c r="W209" s="2" t="inlineStr">
        <is>
          <t>unit</t>
        </is>
      </c>
      <c r="X209" s="2" t="inlineStr">
        <is>
          <t>annuity_sign</t>
        </is>
      </c>
      <c r="Y209" s="2" t="inlineStr">
        <is>
          <t>min_abs_annuity</t>
        </is>
      </c>
      <c r="Z209" s="5" t="inlineStr">
        <is>
          <t>Definition</t>
        </is>
      </c>
      <c r="AA209" s="4">
        <f>SCRIPTINSTRUMENTDEFINITION.NEW($A$209:$C$231,$E$209:$F$219,$H$209:$P$211,$S$209:$Y$211,)</f>
        <v/>
      </c>
    </row>
    <row r="210">
      <c r="A210" s="6" t="inlineStr">
        <is>
          <t>Definition</t>
        </is>
      </c>
      <c r="B210" s="6" t="inlineStr">
        <is>
          <t>N</t>
        </is>
      </c>
      <c r="C210" s="6" t="inlineStr">
        <is>
          <t>100</t>
        </is>
      </c>
      <c r="E210" s="6" t="inlineStr">
        <is>
          <t>pay_currency</t>
        </is>
      </c>
      <c r="F210" s="6" t="inlineStr">
        <is>
          <t>USD</t>
        </is>
      </c>
      <c r="H210" s="6" t="inlineStr">
        <is>
          <t>N</t>
        </is>
      </c>
      <c r="I210" s="6" t="inlineStr">
        <is>
          <t>Real</t>
        </is>
      </c>
      <c r="J210" s="6" t="inlineStr">
        <is>
          <t>Price:USD</t>
        </is>
      </c>
      <c r="K210" s="6" t="inlineStr">
        <is>
          <t>Notional</t>
        </is>
      </c>
      <c r="L210" s="6" t="b">
        <v>1</v>
      </c>
      <c r="M210" s="6" t="n">
        <v>0</v>
      </c>
      <c r="N210" s="6" t="n"/>
      <c r="O210" s="6" t="b">
        <v>0</v>
      </c>
      <c r="P210" s="6" t="b">
        <v>1</v>
      </c>
      <c r="S210" s="6" t="inlineStr">
        <is>
          <t>Price</t>
        </is>
      </c>
      <c r="T210" s="6" t="inlineStr">
        <is>
          <t>Price</t>
        </is>
      </c>
      <c r="U210" s="6" t="inlineStr">
        <is>
          <t>PAY</t>
        </is>
      </c>
      <c r="V210" s="6" t="n"/>
      <c r="W210" s="6" t="inlineStr">
        <is>
          <t>Price:USD</t>
        </is>
      </c>
      <c r="X210" s="6" t="n"/>
      <c r="Y210" s="6" t="n"/>
      <c r="Z210" s="5" t="inlineStr">
        <is>
          <t>Instrument</t>
        </is>
      </c>
      <c r="AA210" s="4">
        <f>SCRIPTCALIBRATIONINSTRUMENT.NEW("ptirds-13",AA209,,DATE(2032,1,1))</f>
        <v/>
      </c>
    </row>
    <row r="211">
      <c r="A211" s="6" t="inlineStr">
        <is>
          <t>Definition</t>
        </is>
      </c>
      <c r="B211" s="6" t="inlineStr">
        <is>
          <t>K</t>
        </is>
      </c>
      <c r="C211" s="6" t="inlineStr">
        <is>
          <t>0.0207</t>
        </is>
      </c>
      <c r="E211" s="6" t="inlineStr">
        <is>
          <t>result_currency</t>
        </is>
      </c>
      <c r="F211" s="6" t="inlineStr">
        <is>
          <t>USD</t>
        </is>
      </c>
      <c r="H211" s="6" t="inlineStr">
        <is>
          <t>K</t>
        </is>
      </c>
      <c r="I211" s="6" t="inlineStr">
        <is>
          <t>Real</t>
        </is>
      </c>
      <c r="J211" s="6" t="inlineStr">
        <is>
          <t>Rate</t>
        </is>
      </c>
      <c r="K211" s="6" t="inlineStr">
        <is>
          <t>Coupon</t>
        </is>
      </c>
      <c r="L211" s="6" t="b">
        <v>1</v>
      </c>
      <c r="M211" s="6" t="n"/>
      <c r="N211" s="6" t="n"/>
      <c r="O211" s="6" t="b">
        <v>1</v>
      </c>
      <c r="P211" s="6" t="b">
        <v>1</v>
      </c>
      <c r="S211" s="6" t="inlineStr">
        <is>
          <t>ParRate</t>
        </is>
      </c>
      <c r="T211" s="6" t="inlineStr">
        <is>
          <t>ParAffineRate</t>
        </is>
      </c>
      <c r="U211" s="6" t="inlineStr">
        <is>
          <t>PAY</t>
        </is>
      </c>
      <c r="V211" s="6" t="inlineStr">
        <is>
          <t>K</t>
        </is>
      </c>
      <c r="W211" s="6" t="inlineStr">
        <is>
          <t>Rate</t>
        </is>
      </c>
      <c r="X211" s="6" t="n">
        <v>1</v>
      </c>
      <c r="Y211" s="6" t="n">
        <v>1e-12</v>
      </c>
      <c r="Z211" s="5" t="inlineStr">
        <is>
          <t>Quote</t>
        </is>
      </c>
      <c r="AA211" s="4">
        <f>CALIBRATIONMARKETQUOTE.NEW("ptirds-13-quote",0.0207,"Rate",)</f>
        <v/>
      </c>
    </row>
    <row r="212">
      <c r="A212" s="6" t="inlineStr">
        <is>
          <t>Event</t>
        </is>
      </c>
      <c r="B212" s="6" t="inlineStr">
        <is>
          <t>2023-01-01</t>
        </is>
      </c>
      <c r="C212" s="6" t="inlineStr">
        <is>
          <t>PAY PAYS N*(1*K)</t>
        </is>
      </c>
      <c r="E212" s="6" t="inlineStr">
        <is>
          <t>collateral_currency</t>
        </is>
      </c>
      <c r="F212" s="6" t="inlineStr">
        <is>
          <t>USD</t>
        </is>
      </c>
      <c r="Z212" s="5" t="inlineStr">
        <is>
          <t>Observation</t>
        </is>
      </c>
      <c r="AA212" s="4">
        <f>CALIBRATIONOBSERVATION.NEW("ptirds-13-observation",AA210,"ParRate",AA211,1E-10)</f>
        <v/>
      </c>
    </row>
    <row r="213">
      <c r="A213" s="6" t="inlineStr">
        <is>
          <t>Event</t>
        </is>
      </c>
      <c r="B213" s="6" t="inlineStr">
        <is>
          <t>2024-01-01</t>
        </is>
      </c>
      <c r="C213" s="6" t="inlineStr">
        <is>
          <t>PAY PAYS N*(1*K)</t>
        </is>
      </c>
      <c r="E213" s="6" t="inlineStr">
        <is>
          <t>collateral_type</t>
        </is>
      </c>
      <c r="F213" s="6" t="inlineStr">
        <is>
          <t>OIS</t>
        </is>
      </c>
    </row>
    <row r="214">
      <c r="A214" s="6" t="inlineStr">
        <is>
          <t>Event</t>
        </is>
      </c>
      <c r="B214" s="6" t="inlineStr">
        <is>
          <t>2025-01-01</t>
        </is>
      </c>
      <c r="C214" s="6" t="inlineStr">
        <is>
          <t>PAY PAYS N*(1.0027397260273974*K)</t>
        </is>
      </c>
      <c r="E214" s="6" t="inlineStr">
        <is>
          <t>receiver</t>
        </is>
      </c>
      <c r="F214" s="6" t="inlineStr">
        <is>
          <t>PAY</t>
        </is>
      </c>
    </row>
    <row r="215">
      <c r="A215" s="6" t="inlineStr">
        <is>
          <t>Event</t>
        </is>
      </c>
      <c r="B215" s="6" t="inlineStr">
        <is>
          <t>2026-01-01</t>
        </is>
      </c>
      <c r="C215" s="6" t="inlineStr">
        <is>
          <t>PAY PAYS N*(1*K)</t>
        </is>
      </c>
      <c r="E215" s="6" t="inlineStr">
        <is>
          <t>notional_parameter</t>
        </is>
      </c>
      <c r="F215" s="6" t="inlineStr">
        <is>
          <t>N</t>
        </is>
      </c>
    </row>
    <row r="216">
      <c r="A216" s="6" t="inlineStr">
        <is>
          <t>Event</t>
        </is>
      </c>
      <c r="B216" s="6" t="inlineStr">
        <is>
          <t>2027-01-01</t>
        </is>
      </c>
      <c r="C216" s="6" t="inlineStr">
        <is>
          <t>PAY PAYS N*(1*K)</t>
        </is>
      </c>
      <c r="E216" s="6" t="inlineStr">
        <is>
          <t>settlement</t>
        </is>
      </c>
      <c r="F216" s="6" t="inlineStr">
        <is>
          <t>AtEvent</t>
        </is>
      </c>
    </row>
    <row r="217">
      <c r="A217" s="6" t="inlineStr">
        <is>
          <t>Event</t>
        </is>
      </c>
      <c r="B217" s="6" t="inlineStr">
        <is>
          <t>2028-01-01</t>
        </is>
      </c>
      <c r="C217" s="6" t="inlineStr">
        <is>
          <t>PAY PAYS N*(1*K)</t>
        </is>
      </c>
      <c r="E217" s="6" t="inlineStr">
        <is>
          <t>valuation_cashflows</t>
        </is>
      </c>
      <c r="F217" s="6" t="inlineStr">
        <is>
          <t>IncludeUnsettledAtValuation</t>
        </is>
      </c>
    </row>
    <row r="218">
      <c r="A218" s="6" t="inlineStr">
        <is>
          <t>Event</t>
        </is>
      </c>
      <c r="B218" s="6" t="inlineStr">
        <is>
          <t>2029-01-01</t>
        </is>
      </c>
      <c r="C218" s="6" t="inlineStr">
        <is>
          <t>PAY PAYS N*(1.0027397260273974*K)</t>
        </is>
      </c>
      <c r="E218" s="6" t="inlineStr">
        <is>
          <t>discount_route</t>
        </is>
      </c>
      <c r="F218" s="6" t="inlineStr">
        <is>
          <t>USD.OIS</t>
        </is>
      </c>
    </row>
    <row r="219">
      <c r="A219" s="6" t="inlineStr">
        <is>
          <t>Event</t>
        </is>
      </c>
      <c r="B219" s="6" t="inlineStr">
        <is>
          <t>2030-01-01</t>
        </is>
      </c>
      <c r="C219" s="6" t="inlineStr">
        <is>
          <t>PAY PAYS N*(1*K)</t>
        </is>
      </c>
      <c r="E219" s="6" t="inlineStr">
        <is>
          <t>convention_set</t>
        </is>
      </c>
      <c r="F219" s="6" t="inlineStr">
        <is>
          <t>dal.fixed-dates/1</t>
        </is>
      </c>
    </row>
    <row r="220">
      <c r="A220" s="6" t="inlineStr">
        <is>
          <t>Event</t>
        </is>
      </c>
      <c r="B220" s="6" t="inlineStr">
        <is>
          <t>2031-01-01</t>
        </is>
      </c>
      <c r="C220" s="6" t="inlineStr">
        <is>
          <t>PAY PAYS N*(1*K)</t>
        </is>
      </c>
    </row>
    <row r="221">
      <c r="A221" s="6" t="inlineStr">
        <is>
          <t>Event</t>
        </is>
      </c>
      <c r="B221" s="6" t="inlineStr">
        <is>
          <t>2032-01-01</t>
        </is>
      </c>
      <c r="C221" s="6" t="inlineStr">
        <is>
          <t>PAY PAYS N*(1*K)</t>
        </is>
      </c>
    </row>
    <row r="222">
      <c r="A222" s="6" t="inlineStr">
        <is>
          <t>Event</t>
        </is>
      </c>
      <c r="B222" s="6" t="inlineStr">
        <is>
          <t>2023-01-01</t>
        </is>
      </c>
      <c r="C222" s="6" t="inlineStr">
        <is>
          <t>PAY PAYS N*(-1*((1/FIX(IR[USD,DF,2023-01-01,2022-01-01],2022-01-01)-1)/1))</t>
        </is>
      </c>
    </row>
    <row r="223">
      <c r="A223" s="6" t="inlineStr">
        <is>
          <t>Event</t>
        </is>
      </c>
      <c r="B223" s="6" t="inlineStr">
        <is>
          <t>2024-01-01</t>
        </is>
      </c>
      <c r="C223" s="6" t="inlineStr">
        <is>
          <t>PAY PAYS N*(-1*((1/FIX(IR[USD,DF,2024-01-01,2023-01-01],2023-01-01)-1)/1))</t>
        </is>
      </c>
    </row>
    <row r="224">
      <c r="A224" s="6" t="inlineStr">
        <is>
          <t>Event</t>
        </is>
      </c>
      <c r="B224" s="6" t="inlineStr">
        <is>
          <t>2025-01-01</t>
        </is>
      </c>
      <c r="C224" s="6" t="inlineStr">
        <is>
          <t>PAY PAYS N*(-1.0027397260273974*((1/FIX(IR[USD,DF,2025-01-01,2024-01-01],2024-01-01)-1)/1.0027397260273974))</t>
        </is>
      </c>
    </row>
    <row r="225">
      <c r="A225" s="6" t="inlineStr">
        <is>
          <t>Event</t>
        </is>
      </c>
      <c r="B225" s="6" t="inlineStr">
        <is>
          <t>2026-01-01</t>
        </is>
      </c>
      <c r="C225" s="6" t="inlineStr">
        <is>
          <t>PAY PAYS N*(-1*((1/FIX(IR[USD,DF,2026-01-01,2025-01-01],2025-01-01)-1)/1))</t>
        </is>
      </c>
    </row>
    <row r="226">
      <c r="A226" s="6" t="inlineStr">
        <is>
          <t>Event</t>
        </is>
      </c>
      <c r="B226" s="6" t="inlineStr">
        <is>
          <t>2027-01-01</t>
        </is>
      </c>
      <c r="C226" s="6" t="inlineStr">
        <is>
          <t>PAY PAYS N*(-1*((1/FIX(IR[USD,DF,2027-01-01,2026-01-01],2026-01-01)-1)/1))</t>
        </is>
      </c>
    </row>
    <row r="227">
      <c r="A227" s="6" t="inlineStr">
        <is>
          <t>Event</t>
        </is>
      </c>
      <c r="B227" s="6" t="inlineStr">
        <is>
          <t>2028-01-01</t>
        </is>
      </c>
      <c r="C227" s="6" t="inlineStr">
        <is>
          <t>PAY PAYS N*(-1*((1/FIX(IR[USD,DF,2028-01-01,2027-01-01],2027-01-01)-1)/1))</t>
        </is>
      </c>
    </row>
    <row r="228">
      <c r="A228" s="6" t="inlineStr">
        <is>
          <t>Event</t>
        </is>
      </c>
      <c r="B228" s="6" t="inlineStr">
        <is>
          <t>2029-01-01</t>
        </is>
      </c>
      <c r="C228" s="6" t="inlineStr">
        <is>
          <t>PAY PAYS N*(-1.0027397260273974*((1/FIX(IR[USD,DF,2029-01-01,2028-01-01],2028-01-01)-1)/1.0027397260273974))</t>
        </is>
      </c>
    </row>
    <row r="229">
      <c r="A229" s="6" t="inlineStr">
        <is>
          <t>Event</t>
        </is>
      </c>
      <c r="B229" s="6" t="inlineStr">
        <is>
          <t>2030-01-01</t>
        </is>
      </c>
      <c r="C229" s="6" t="inlineStr">
        <is>
          <t>PAY PAYS N*(-1*((1/FIX(IR[USD,DF,2030-01-01,2029-01-01],2029-01-01)-1)/1))</t>
        </is>
      </c>
    </row>
    <row r="230">
      <c r="A230" s="6" t="inlineStr">
        <is>
          <t>Event</t>
        </is>
      </c>
      <c r="B230" s="6" t="inlineStr">
        <is>
          <t>2031-01-01</t>
        </is>
      </c>
      <c r="C230" s="6" t="inlineStr">
        <is>
          <t>PAY PAYS N*(-1*((1/FIX(IR[USD,DF,2031-01-01,2030-01-01],2030-01-01)-1)/1))</t>
        </is>
      </c>
    </row>
    <row r="231">
      <c r="A231" s="6" t="inlineStr">
        <is>
          <t>Event</t>
        </is>
      </c>
      <c r="B231" s="6" t="inlineStr">
        <is>
          <t>2032-01-01</t>
        </is>
      </c>
      <c r="C231" s="6" t="inlineStr">
        <is>
          <t>PAY PAYS N*(-1*((1/FIX(IR[USD,DF,2032-01-01,2031-01-01],2031-01-01)-1)/1))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67" customWidth="1" min="2" max="2"/>
    <col width="12" customWidth="1" min="3" max="3"/>
    <col width="26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Script yield calibration — LOG_LINEAR</t>
        </is>
      </c>
    </row>
    <row r="2">
      <c r="A2" s="3" t="inlineStr">
        <is>
          <t>13 scripted instruments, 14 knots, EXACT solve, AAD Jacobian</t>
        </is>
      </c>
    </row>
    <row r="3"/>
    <row r="4">
      <c r="A4" s="5" t="inlineStr">
        <is>
          <t>Knot dates</t>
        </is>
      </c>
      <c r="B4" s="4">
        <f>CALIBRATIONDATES.NEW($H$5:$H$18)</f>
        <v/>
      </c>
      <c r="D4" s="2" t="inlineStr">
        <is>
          <t>field</t>
        </is>
      </c>
      <c r="E4" s="2" t="inlineStr">
        <is>
          <t>value</t>
        </is>
      </c>
      <c r="G4" s="2" t="inlineStr">
        <is>
          <t>index</t>
        </is>
      </c>
      <c r="H4" s="2" t="inlineStr">
        <is>
          <t>knot_date</t>
        </is>
      </c>
    </row>
    <row r="5">
      <c r="A5" s="5" t="inlineStr">
        <is>
          <t>Geometry</t>
        </is>
      </c>
      <c r="B5" s="4">
        <f>CURVEINSTRUMENTGEOMETRY.NEW($D$4:$E$14)</f>
        <v/>
      </c>
      <c r="D5" s="6" t="inlineStr">
        <is>
          <t>today</t>
        </is>
      </c>
      <c r="E5" s="7" t="n">
        <v>44562</v>
      </c>
      <c r="G5" s="6" t="n">
        <v>1</v>
      </c>
      <c r="H5" s="7" t="n">
        <v>44562</v>
      </c>
    </row>
    <row r="6">
      <c r="A6" s="5" t="inlineStr">
        <is>
          <t>Routes</t>
        </is>
      </c>
      <c r="B6" s="4">
        <f>CURVESCRIPTROUTES.NEW($D$17:$G$18)</f>
        <v/>
      </c>
      <c r="D6" s="6" t="inlineStr">
        <is>
          <t>currency</t>
        </is>
      </c>
      <c r="E6" s="6" t="inlineStr">
        <is>
          <t>USD</t>
        </is>
      </c>
      <c r="G6" s="6" t="n">
        <v>2</v>
      </c>
      <c r="H6" s="7" t="n">
        <v>44635</v>
      </c>
    </row>
    <row r="7">
      <c r="A7" s="5" t="inlineStr">
        <is>
          <t>Market</t>
        </is>
      </c>
      <c r="B7" s="4">
        <f>CURVEINSTRUMENTMARKET.NEW($D$21:$E$22)</f>
        <v/>
      </c>
      <c r="D7" s="6" t="inlineStr">
        <is>
          <t>curve_name</t>
        </is>
      </c>
      <c r="E7" s="6" t="inlineStr">
        <is>
          <t>ptirds</t>
        </is>
      </c>
      <c r="G7" s="6" t="n">
        <v>3</v>
      </c>
      <c r="H7" s="7" t="n">
        <v>44727</v>
      </c>
    </row>
    <row r="8">
      <c r="A8" s="5" t="inlineStr">
        <is>
          <t>Empty fixings</t>
        </is>
      </c>
      <c r="B8" s="4">
        <f>MARKETFIXINGSNAPSHOT.NEW(,,)</f>
        <v/>
      </c>
      <c r="D8" s="6" t="inlineStr">
        <is>
          <t>knot_dates</t>
        </is>
      </c>
      <c r="E8" s="6" t="inlineStr">
        <is>
          <t>$B$4</t>
        </is>
      </c>
      <c r="G8" s="6" t="n">
        <v>4</v>
      </c>
      <c r="H8" s="7" t="n">
        <v>44825</v>
      </c>
    </row>
    <row r="9">
      <c r="A9" s="5" t="inlineStr">
        <is>
          <t>Valuation</t>
        </is>
      </c>
      <c r="B9" s="4">
        <f>SCRIPTVALUATIONSETTINGS.NEW("ptirds-valuation",$D$25:$E$26,$B$8)</f>
        <v/>
      </c>
      <c r="D9" s="6" t="inlineStr">
        <is>
          <t>parameterization</t>
        </is>
      </c>
      <c r="E9" s="6" t="inlineStr">
        <is>
          <t>LOG_DISCOUNT</t>
        </is>
      </c>
      <c r="G9" s="6" t="n">
        <v>5</v>
      </c>
      <c r="H9" s="7" t="n">
        <v>44916</v>
      </c>
    </row>
    <row r="10">
      <c r="A10" s="5" t="inlineStr">
        <is>
          <t>Solver</t>
        </is>
      </c>
      <c r="B10" s="4">
        <f>CURVEINSTRUMENTSOLVER.NEW($D$29:$E$35)</f>
        <v/>
      </c>
      <c r="D10" s="6" t="inlineStr">
        <is>
          <t>knot_policy</t>
        </is>
      </c>
      <c r="E10" s="6" t="inlineStr">
        <is>
          <t>INPUT</t>
        </is>
      </c>
      <c r="G10" s="6" t="n">
        <v>6</v>
      </c>
      <c r="H10" s="7" t="n">
        <v>45000</v>
      </c>
    </row>
    <row r="11">
      <c r="A11" s="5" t="inlineStr">
        <is>
          <t>Options</t>
        </is>
      </c>
      <c r="B11" s="4">
        <f>CURVEINSTRUMENTCALIBRATIONOPTIONS.NEW($D$38:$E$42)</f>
        <v/>
      </c>
      <c r="D11" s="6" t="inlineStr">
        <is>
          <t>log_df_scheme</t>
        </is>
      </c>
      <c r="E11" s="6" t="inlineStr">
        <is>
          <t>LOG_LINEAR</t>
        </is>
      </c>
      <c r="G11" s="6" t="n">
        <v>7</v>
      </c>
      <c r="H11" s="7" t="n">
        <v>45098</v>
      </c>
    </row>
    <row r="12">
      <c r="A12" s="5" t="inlineStr">
        <is>
          <t>Observations</t>
        </is>
      </c>
      <c r="B12" s="4">
        <f>CALIBRATIONOBSERVATIONS.NEW(Instruments!$E$4:$E$16)</f>
        <v/>
      </c>
      <c r="D12" s="6" t="inlineStr">
        <is>
          <t>calibrate_discount_curve</t>
        </is>
      </c>
      <c r="E12" s="6" t="b">
        <v>1</v>
      </c>
      <c r="G12" s="6" t="n">
        <v>8</v>
      </c>
      <c r="H12" s="7" t="n">
        <v>45189</v>
      </c>
    </row>
    <row r="13">
      <c r="A13" s="5" t="inlineStr">
        <is>
          <t>Spec</t>
        </is>
      </c>
      <c r="B13" s="4">
        <f>CURVEINSTRUMENTCALIBRATIONSPEC.NEW($D$45:$E$50)</f>
        <v/>
      </c>
      <c r="D13" s="6" t="inlineStr">
        <is>
          <t>target_collateral</t>
        </is>
      </c>
      <c r="E13" s="6" t="inlineStr">
        <is>
          <t>OIS</t>
        </is>
      </c>
      <c r="G13" s="6" t="n">
        <v>9</v>
      </c>
      <c r="H13" s="7" t="n">
        <v>45280</v>
      </c>
    </row>
    <row r="14">
      <c r="A14" s="5" t="inlineStr">
        <is>
          <t>Calibration</t>
        </is>
      </c>
      <c r="B14" s="4">
        <f>CALIBRATE.CURVEINSTRUMENTS($B$13,$B$11)</f>
        <v/>
      </c>
      <c r="D14" s="6" t="inlineStr">
        <is>
          <t>libor_basis</t>
        </is>
      </c>
      <c r="E14" s="6" t="inlineStr">
        <is>
          <t>ACT_365F</t>
        </is>
      </c>
      <c r="G14" s="6" t="n">
        <v>10</v>
      </c>
      <c r="H14" s="7" t="n">
        <v>45366</v>
      </c>
    </row>
    <row r="15">
      <c r="A15" s="5" t="inlineStr">
        <is>
          <t>Status</t>
        </is>
      </c>
      <c r="B15" s="4">
        <f>CALIBRATIONOUTCOME.GET.STATUS($B$14)</f>
        <v/>
      </c>
      <c r="G15" s="6" t="n">
        <v>11</v>
      </c>
      <c r="H15" s="7" t="n">
        <v>45658</v>
      </c>
    </row>
    <row r="16">
      <c r="A16" s="5" t="inlineStr">
        <is>
          <t>Report</t>
        </is>
      </c>
      <c r="B16" s="4">
        <f>CALIBRATIONOUTCOME.GET.REPORT($B$14)</f>
        <v/>
      </c>
      <c r="G16" s="6" t="n">
        <v>12</v>
      </c>
      <c r="H16" s="7" t="n">
        <v>46388</v>
      </c>
    </row>
    <row r="17">
      <c r="A17" s="5" t="inlineStr">
        <is>
          <t>Curve</t>
        </is>
      </c>
      <c r="B17" s="4">
        <f>CALIBRATIONOUTCOME.GET.CURVE($B$14)</f>
        <v/>
      </c>
      <c r="D17" s="2" t="inlineStr">
        <is>
          <t>id</t>
        </is>
      </c>
      <c r="E17" s="2" t="inlineStr">
        <is>
          <t>projection</t>
        </is>
      </c>
      <c r="F17" s="2" t="inlineStr">
        <is>
          <t>collateral</t>
        </is>
      </c>
      <c r="G17" s="2" t="inlineStr">
        <is>
          <t>tenor</t>
        </is>
      </c>
      <c r="H17" s="7" t="n">
        <v>47119</v>
      </c>
    </row>
    <row r="18">
      <c r="D18" s="6" t="inlineStr">
        <is>
          <t>USD.OIS</t>
        </is>
      </c>
      <c r="E18" s="6" t="b">
        <v>0</v>
      </c>
      <c r="F18" s="6" t="inlineStr">
        <is>
          <t>OIS</t>
        </is>
      </c>
      <c r="G18" s="6" t="n">
        <v>14</v>
      </c>
      <c r="H18" s="7" t="n">
        <v>48214</v>
      </c>
    </row>
    <row r="19"/>
    <row r="20"/>
    <row r="21">
      <c r="D21" s="2" t="inlineStr">
        <is>
          <t>field</t>
        </is>
      </c>
      <c r="E21" s="2" t="inlineStr">
        <is>
          <t>value</t>
        </is>
      </c>
    </row>
    <row r="22">
      <c r="A22" s="1" t="inlineStr">
        <is>
          <t>Observation report</t>
        </is>
      </c>
      <c r="D22" s="6" t="inlineStr">
        <is>
          <t>routes</t>
        </is>
      </c>
      <c r="E22" s="6" t="inlineStr">
        <is>
          <t>$B$6</t>
        </is>
      </c>
    </row>
    <row r="23">
      <c r="A23" s="4">
        <f>CALIBRATIONREPORT.GET.OBSERVATIONS($B$16)</f>
        <v/>
      </c>
    </row>
    <row r="24"/>
    <row r="25">
      <c r="D25" s="2" t="inlineStr">
        <is>
          <t>field</t>
        </is>
      </c>
      <c r="E25" s="2" t="inlineStr">
        <is>
          <t>value</t>
        </is>
      </c>
    </row>
    <row r="26">
      <c r="D26" s="6" t="inlineStr">
        <is>
          <t>evaluation_date</t>
        </is>
      </c>
      <c r="E26" s="7" t="n">
        <v>44562</v>
      </c>
    </row>
    <row r="27"/>
    <row r="28"/>
    <row r="29">
      <c r="D29" s="2" t="inlineStr">
        <is>
          <t>field</t>
        </is>
      </c>
      <c r="E29" s="2" t="inlineStr">
        <is>
          <t>value</t>
        </is>
      </c>
    </row>
    <row r="30">
      <c r="D30" s="6" t="inlineStr">
        <is>
          <t>solve_mode</t>
        </is>
      </c>
      <c r="E30" s="6" t="inlineStr">
        <is>
          <t>EXACT</t>
        </is>
      </c>
    </row>
    <row r="31">
      <c r="D31" s="6" t="inlineStr">
        <is>
          <t>initial_guess</t>
        </is>
      </c>
      <c r="E31" s="6" t="n">
        <v>0.05</v>
      </c>
    </row>
    <row r="32">
      <c r="D32" s="6" t="inlineStr">
        <is>
          <t>smoothing_weight</t>
        </is>
      </c>
      <c r="E32" s="6" t="n">
        <v>1</v>
      </c>
    </row>
    <row r="33">
      <c r="D33" s="6" t="inlineStr">
        <is>
          <t>max_evaluations</t>
        </is>
      </c>
      <c r="E33" s="6" t="n">
        <v>200</v>
      </c>
    </row>
    <row r="34">
      <c r="D34" s="6" t="inlineStr">
        <is>
          <t>max_restarts</t>
        </is>
      </c>
      <c r="E34" s="6" t="n">
        <v>20</v>
      </c>
    </row>
    <row r="35">
      <c r="D35" s="6" t="inlineStr">
        <is>
          <t>fit_norm_tolerance</t>
        </is>
      </c>
      <c r="E35" s="6" t="n">
        <v>1e-08</v>
      </c>
    </row>
    <row r="36"/>
    <row r="37"/>
    <row r="38">
      <c r="D38" s="2" t="inlineStr">
        <is>
          <t>field</t>
        </is>
      </c>
      <c r="E38" s="2" t="inlineStr">
        <is>
          <t>value</t>
        </is>
      </c>
    </row>
    <row r="39">
      <c r="D39" s="6" t="inlineStr">
        <is>
          <t>evaluation</t>
        </is>
      </c>
      <c r="E39" s="6" t="inlineStr">
        <is>
          <t>AutoFast</t>
        </is>
      </c>
    </row>
    <row r="40">
      <c r="A40" s="1" t="inlineStr">
        <is>
          <t>Fitted parameters</t>
        </is>
      </c>
      <c r="D40" s="6" t="inlineStr">
        <is>
          <t>jacobian_mode</t>
        </is>
      </c>
      <c r="E40" s="6" t="inlineStr">
        <is>
          <t>AAD</t>
        </is>
      </c>
    </row>
    <row r="41">
      <c r="A41" s="4">
        <f>CALIBRATIONREPORT.GET.PARAMETERS($B$16)</f>
        <v/>
      </c>
      <c r="D41" s="6" t="inlineStr">
        <is>
          <t>difference_step</t>
        </is>
      </c>
      <c r="E41" s="6" t="n">
        <v>1e-06</v>
      </c>
    </row>
    <row r="42">
      <c r="D42" s="6" t="inlineStr">
        <is>
          <t>compute_quote_jacobian</t>
        </is>
      </c>
      <c r="E42" s="6" t="b">
        <v>0</v>
      </c>
    </row>
    <row r="43"/>
    <row r="44"/>
    <row r="45">
      <c r="D45" s="2" t="inlineStr">
        <is>
          <t>field</t>
        </is>
      </c>
      <c r="E45" s="2" t="inlineStr">
        <is>
          <t>value</t>
        </is>
      </c>
    </row>
    <row r="46">
      <c r="D46" s="6" t="inlineStr">
        <is>
          <t>geometry</t>
        </is>
      </c>
      <c r="E46" s="6" t="inlineStr">
        <is>
          <t>$B$5</t>
        </is>
      </c>
    </row>
    <row r="47">
      <c r="D47" s="6" t="inlineStr">
        <is>
          <t>market</t>
        </is>
      </c>
      <c r="E47" s="6" t="inlineStr">
        <is>
          <t>$B$7</t>
        </is>
      </c>
    </row>
    <row r="48">
      <c r="D48" s="6" t="inlineStr">
        <is>
          <t>valuation</t>
        </is>
      </c>
      <c r="E48" s="6" t="inlineStr">
        <is>
          <t>$B$9</t>
        </is>
      </c>
    </row>
    <row r="49">
      <c r="D49" s="6" t="inlineStr">
        <is>
          <t>observations</t>
        </is>
      </c>
      <c r="E49" s="6" t="inlineStr">
        <is>
          <t>$B$12</t>
        </is>
      </c>
    </row>
    <row r="50">
      <c r="D50" s="6" t="inlineStr">
        <is>
          <t>solver</t>
        </is>
      </c>
      <c r="E50" s="6" t="inlineStr">
        <is>
          <t>$B$10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67" customWidth="1" min="2" max="2"/>
    <col width="12" customWidth="1" min="3" max="3"/>
    <col width="26" customWidth="1" min="4" max="4"/>
    <col width="19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Script yield calibration — LOG_CUBIC_NATURAL</t>
        </is>
      </c>
    </row>
    <row r="2">
      <c r="A2" s="3" t="inlineStr">
        <is>
          <t>13 scripted instruments, 14 knots, EXACT solve, AAD Jacobian</t>
        </is>
      </c>
    </row>
    <row r="3"/>
    <row r="4">
      <c r="A4" s="5" t="inlineStr">
        <is>
          <t>Knot dates</t>
        </is>
      </c>
      <c r="B4" s="4">
        <f>CALIBRATIONDATES.NEW($H$5:$H$18)</f>
        <v/>
      </c>
      <c r="D4" s="2" t="inlineStr">
        <is>
          <t>field</t>
        </is>
      </c>
      <c r="E4" s="2" t="inlineStr">
        <is>
          <t>value</t>
        </is>
      </c>
      <c r="G4" s="2" t="inlineStr">
        <is>
          <t>index</t>
        </is>
      </c>
      <c r="H4" s="2" t="inlineStr">
        <is>
          <t>knot_date</t>
        </is>
      </c>
    </row>
    <row r="5">
      <c r="A5" s="5" t="inlineStr">
        <is>
          <t>Geometry</t>
        </is>
      </c>
      <c r="B5" s="4">
        <f>CURVEINSTRUMENTGEOMETRY.NEW($D$4:$E$14)</f>
        <v/>
      </c>
      <c r="D5" s="6" t="inlineStr">
        <is>
          <t>today</t>
        </is>
      </c>
      <c r="E5" s="7" t="n">
        <v>44562</v>
      </c>
      <c r="G5" s="6" t="n">
        <v>1</v>
      </c>
      <c r="H5" s="7" t="n">
        <v>44562</v>
      </c>
    </row>
    <row r="6">
      <c r="A6" s="5" t="inlineStr">
        <is>
          <t>Routes</t>
        </is>
      </c>
      <c r="B6" s="4">
        <f>CURVESCRIPTROUTES.NEW($D$17:$G$18)</f>
        <v/>
      </c>
      <c r="D6" s="6" t="inlineStr">
        <is>
          <t>currency</t>
        </is>
      </c>
      <c r="E6" s="6" t="inlineStr">
        <is>
          <t>USD</t>
        </is>
      </c>
      <c r="G6" s="6" t="n">
        <v>2</v>
      </c>
      <c r="H6" s="7" t="n">
        <v>44635</v>
      </c>
    </row>
    <row r="7">
      <c r="A7" s="5" t="inlineStr">
        <is>
          <t>Market</t>
        </is>
      </c>
      <c r="B7" s="4">
        <f>CURVEINSTRUMENTMARKET.NEW($D$21:$E$22)</f>
        <v/>
      </c>
      <c r="D7" s="6" t="inlineStr">
        <is>
          <t>curve_name</t>
        </is>
      </c>
      <c r="E7" s="6" t="inlineStr">
        <is>
          <t>ptirds</t>
        </is>
      </c>
      <c r="G7" s="6" t="n">
        <v>3</v>
      </c>
      <c r="H7" s="7" t="n">
        <v>44727</v>
      </c>
    </row>
    <row r="8">
      <c r="A8" s="5" t="inlineStr">
        <is>
          <t>Empty fixings</t>
        </is>
      </c>
      <c r="B8" s="4">
        <f>MARKETFIXINGSNAPSHOT.NEW(,,)</f>
        <v/>
      </c>
      <c r="D8" s="6" t="inlineStr">
        <is>
          <t>knot_dates</t>
        </is>
      </c>
      <c r="E8" s="6" t="inlineStr">
        <is>
          <t>$B$4</t>
        </is>
      </c>
      <c r="G8" s="6" t="n">
        <v>4</v>
      </c>
      <c r="H8" s="7" t="n">
        <v>44825</v>
      </c>
    </row>
    <row r="9">
      <c r="A9" s="5" t="inlineStr">
        <is>
          <t>Valuation</t>
        </is>
      </c>
      <c r="B9" s="4">
        <f>SCRIPTVALUATIONSETTINGS.NEW("ptirds-valuation",$D$25:$E$26,$B$8)</f>
        <v/>
      </c>
      <c r="D9" s="6" t="inlineStr">
        <is>
          <t>parameterization</t>
        </is>
      </c>
      <c r="E9" s="6" t="inlineStr">
        <is>
          <t>LOG_DISCOUNT</t>
        </is>
      </c>
      <c r="G9" s="6" t="n">
        <v>5</v>
      </c>
      <c r="H9" s="7" t="n">
        <v>44916</v>
      </c>
    </row>
    <row r="10">
      <c r="A10" s="5" t="inlineStr">
        <is>
          <t>Solver</t>
        </is>
      </c>
      <c r="B10" s="4">
        <f>CURVEINSTRUMENTSOLVER.NEW($D$29:$E$35)</f>
        <v/>
      </c>
      <c r="D10" s="6" t="inlineStr">
        <is>
          <t>knot_policy</t>
        </is>
      </c>
      <c r="E10" s="6" t="inlineStr">
        <is>
          <t>INPUT</t>
        </is>
      </c>
      <c r="G10" s="6" t="n">
        <v>6</v>
      </c>
      <c r="H10" s="7" t="n">
        <v>45000</v>
      </c>
    </row>
    <row r="11">
      <c r="A11" s="5" t="inlineStr">
        <is>
          <t>Options</t>
        </is>
      </c>
      <c r="B11" s="4">
        <f>CURVEINSTRUMENTCALIBRATIONOPTIONS.NEW($D$38:$E$42)</f>
        <v/>
      </c>
      <c r="D11" s="6" t="inlineStr">
        <is>
          <t>log_df_scheme</t>
        </is>
      </c>
      <c r="E11" s="6" t="inlineStr">
        <is>
          <t>LOG_CUBIC_NATURAL</t>
        </is>
      </c>
      <c r="G11" s="6" t="n">
        <v>7</v>
      </c>
      <c r="H11" s="7" t="n">
        <v>45098</v>
      </c>
    </row>
    <row r="12">
      <c r="A12" s="5" t="inlineStr">
        <is>
          <t>Observations</t>
        </is>
      </c>
      <c r="B12" s="4">
        <f>CALIBRATIONOBSERVATIONS.NEW(Instruments!$E$4:$E$16)</f>
        <v/>
      </c>
      <c r="D12" s="6" t="inlineStr">
        <is>
          <t>calibrate_discount_curve</t>
        </is>
      </c>
      <c r="E12" s="6" t="b">
        <v>1</v>
      </c>
      <c r="G12" s="6" t="n">
        <v>8</v>
      </c>
      <c r="H12" s="7" t="n">
        <v>45189</v>
      </c>
    </row>
    <row r="13">
      <c r="A13" s="5" t="inlineStr">
        <is>
          <t>Spec</t>
        </is>
      </c>
      <c r="B13" s="4">
        <f>CURVEINSTRUMENTCALIBRATIONSPEC.NEW($D$45:$E$50)</f>
        <v/>
      </c>
      <c r="D13" s="6" t="inlineStr">
        <is>
          <t>target_collateral</t>
        </is>
      </c>
      <c r="E13" s="6" t="inlineStr">
        <is>
          <t>OIS</t>
        </is>
      </c>
      <c r="G13" s="6" t="n">
        <v>9</v>
      </c>
      <c r="H13" s="7" t="n">
        <v>45280</v>
      </c>
    </row>
    <row r="14">
      <c r="A14" s="5" t="inlineStr">
        <is>
          <t>Calibration</t>
        </is>
      </c>
      <c r="B14" s="4">
        <f>CALIBRATE.CURVEINSTRUMENTS($B$13,$B$11)</f>
        <v/>
      </c>
      <c r="D14" s="6" t="inlineStr">
        <is>
          <t>libor_basis</t>
        </is>
      </c>
      <c r="E14" s="6" t="inlineStr">
        <is>
          <t>ACT_365F</t>
        </is>
      </c>
      <c r="G14" s="6" t="n">
        <v>10</v>
      </c>
      <c r="H14" s="7" t="n">
        <v>45366</v>
      </c>
    </row>
    <row r="15">
      <c r="A15" s="5" t="inlineStr">
        <is>
          <t>Status</t>
        </is>
      </c>
      <c r="B15" s="4">
        <f>CALIBRATIONOUTCOME.GET.STATUS($B$14)</f>
        <v/>
      </c>
      <c r="G15" s="6" t="n">
        <v>11</v>
      </c>
      <c r="H15" s="7" t="n">
        <v>45658</v>
      </c>
    </row>
    <row r="16">
      <c r="A16" s="5" t="inlineStr">
        <is>
          <t>Report</t>
        </is>
      </c>
      <c r="B16" s="4">
        <f>CALIBRATIONOUTCOME.GET.REPORT($B$14)</f>
        <v/>
      </c>
      <c r="G16" s="6" t="n">
        <v>12</v>
      </c>
      <c r="H16" s="7" t="n">
        <v>46388</v>
      </c>
    </row>
    <row r="17">
      <c r="A17" s="5" t="inlineStr">
        <is>
          <t>Curve</t>
        </is>
      </c>
      <c r="B17" s="4">
        <f>CALIBRATIONOUTCOME.GET.CURVE($B$14)</f>
        <v/>
      </c>
      <c r="D17" s="2" t="inlineStr">
        <is>
          <t>id</t>
        </is>
      </c>
      <c r="E17" s="2" t="inlineStr">
        <is>
          <t>projection</t>
        </is>
      </c>
      <c r="F17" s="2" t="inlineStr">
        <is>
          <t>collateral</t>
        </is>
      </c>
      <c r="G17" s="2" t="inlineStr">
        <is>
          <t>tenor</t>
        </is>
      </c>
      <c r="H17" s="7" t="n">
        <v>47119</v>
      </c>
    </row>
    <row r="18">
      <c r="D18" s="6" t="inlineStr">
        <is>
          <t>USD.OIS</t>
        </is>
      </c>
      <c r="E18" s="6" t="b">
        <v>0</v>
      </c>
      <c r="F18" s="6" t="inlineStr">
        <is>
          <t>OIS</t>
        </is>
      </c>
      <c r="G18" s="6" t="n">
        <v>14</v>
      </c>
      <c r="H18" s="7" t="n">
        <v>48214</v>
      </c>
    </row>
    <row r="19"/>
    <row r="20"/>
    <row r="21">
      <c r="D21" s="2" t="inlineStr">
        <is>
          <t>field</t>
        </is>
      </c>
      <c r="E21" s="2" t="inlineStr">
        <is>
          <t>value</t>
        </is>
      </c>
    </row>
    <row r="22">
      <c r="A22" s="1" t="inlineStr">
        <is>
          <t>Observation report</t>
        </is>
      </c>
      <c r="D22" s="6" t="inlineStr">
        <is>
          <t>routes</t>
        </is>
      </c>
      <c r="E22" s="6" t="inlineStr">
        <is>
          <t>$B$6</t>
        </is>
      </c>
    </row>
    <row r="23">
      <c r="A23" s="4">
        <f>CALIBRATIONREPORT.GET.OBSERVATIONS($B$16)</f>
        <v/>
      </c>
    </row>
    <row r="24"/>
    <row r="25">
      <c r="D25" s="2" t="inlineStr">
        <is>
          <t>field</t>
        </is>
      </c>
      <c r="E25" s="2" t="inlineStr">
        <is>
          <t>value</t>
        </is>
      </c>
    </row>
    <row r="26">
      <c r="D26" s="6" t="inlineStr">
        <is>
          <t>evaluation_date</t>
        </is>
      </c>
      <c r="E26" s="7" t="n">
        <v>44562</v>
      </c>
    </row>
    <row r="27"/>
    <row r="28"/>
    <row r="29">
      <c r="D29" s="2" t="inlineStr">
        <is>
          <t>field</t>
        </is>
      </c>
      <c r="E29" s="2" t="inlineStr">
        <is>
          <t>value</t>
        </is>
      </c>
    </row>
    <row r="30">
      <c r="D30" s="6" t="inlineStr">
        <is>
          <t>solve_mode</t>
        </is>
      </c>
      <c r="E30" s="6" t="inlineStr">
        <is>
          <t>EXACT</t>
        </is>
      </c>
    </row>
    <row r="31">
      <c r="D31" s="6" t="inlineStr">
        <is>
          <t>initial_guess</t>
        </is>
      </c>
      <c r="E31" s="6" t="n">
        <v>0.05</v>
      </c>
    </row>
    <row r="32">
      <c r="D32" s="6" t="inlineStr">
        <is>
          <t>smoothing_weight</t>
        </is>
      </c>
      <c r="E32" s="6" t="n">
        <v>1</v>
      </c>
    </row>
    <row r="33">
      <c r="D33" s="6" t="inlineStr">
        <is>
          <t>max_evaluations</t>
        </is>
      </c>
      <c r="E33" s="6" t="n">
        <v>200</v>
      </c>
    </row>
    <row r="34">
      <c r="D34" s="6" t="inlineStr">
        <is>
          <t>max_restarts</t>
        </is>
      </c>
      <c r="E34" s="6" t="n">
        <v>20</v>
      </c>
    </row>
    <row r="35">
      <c r="D35" s="6" t="inlineStr">
        <is>
          <t>fit_norm_tolerance</t>
        </is>
      </c>
      <c r="E35" s="6" t="n">
        <v>1e-08</v>
      </c>
    </row>
    <row r="36"/>
    <row r="37"/>
    <row r="38">
      <c r="D38" s="2" t="inlineStr">
        <is>
          <t>field</t>
        </is>
      </c>
      <c r="E38" s="2" t="inlineStr">
        <is>
          <t>value</t>
        </is>
      </c>
    </row>
    <row r="39">
      <c r="D39" s="6" t="inlineStr">
        <is>
          <t>evaluation</t>
        </is>
      </c>
      <c r="E39" s="6" t="inlineStr">
        <is>
          <t>AutoFast</t>
        </is>
      </c>
    </row>
    <row r="40">
      <c r="A40" s="1" t="inlineStr">
        <is>
          <t>Fitted parameters</t>
        </is>
      </c>
      <c r="D40" s="6" t="inlineStr">
        <is>
          <t>jacobian_mode</t>
        </is>
      </c>
      <c r="E40" s="6" t="inlineStr">
        <is>
          <t>AAD</t>
        </is>
      </c>
    </row>
    <row r="41">
      <c r="A41" s="4">
        <f>CALIBRATIONREPORT.GET.PARAMETERS($B$16)</f>
        <v/>
      </c>
      <c r="D41" s="6" t="inlineStr">
        <is>
          <t>difference_step</t>
        </is>
      </c>
      <c r="E41" s="6" t="n">
        <v>1e-06</v>
      </c>
    </row>
    <row r="42">
      <c r="D42" s="6" t="inlineStr">
        <is>
          <t>compute_quote_jacobian</t>
        </is>
      </c>
      <c r="E42" s="6" t="b">
        <v>0</v>
      </c>
    </row>
    <row r="43"/>
    <row r="44"/>
    <row r="45">
      <c r="D45" s="2" t="inlineStr">
        <is>
          <t>field</t>
        </is>
      </c>
      <c r="E45" s="2" t="inlineStr">
        <is>
          <t>value</t>
        </is>
      </c>
    </row>
    <row r="46">
      <c r="D46" s="6" t="inlineStr">
        <is>
          <t>geometry</t>
        </is>
      </c>
      <c r="E46" s="6" t="inlineStr">
        <is>
          <t>$B$5</t>
        </is>
      </c>
    </row>
    <row r="47">
      <c r="D47" s="6" t="inlineStr">
        <is>
          <t>market</t>
        </is>
      </c>
      <c r="E47" s="6" t="inlineStr">
        <is>
          <t>$B$7</t>
        </is>
      </c>
    </row>
    <row r="48">
      <c r="D48" s="6" t="inlineStr">
        <is>
          <t>valuation</t>
        </is>
      </c>
      <c r="E48" s="6" t="inlineStr">
        <is>
          <t>$B$9</t>
        </is>
      </c>
    </row>
    <row r="49">
      <c r="D49" s="6" t="inlineStr">
        <is>
          <t>observations</t>
        </is>
      </c>
      <c r="E49" s="6" t="inlineStr">
        <is>
          <t>$B$12</t>
        </is>
      </c>
    </row>
    <row r="50">
      <c r="D50" s="6" t="inlineStr">
        <is>
          <t>solver</t>
        </is>
      </c>
      <c r="E50" s="6" t="inlineStr">
        <is>
          <t>$B$10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67" customWidth="1" min="2" max="2"/>
    <col width="12" customWidth="1" min="3" max="3"/>
    <col width="26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Script yield calibration — MIXED</t>
        </is>
      </c>
    </row>
    <row r="2">
      <c r="A2" s="3" t="inlineStr">
        <is>
          <t>13 scripted instruments, 14 knots, EXACT solve, AAD Jacobian</t>
        </is>
      </c>
    </row>
    <row r="3"/>
    <row r="4">
      <c r="A4" s="5" t="inlineStr">
        <is>
          <t>Knot dates</t>
        </is>
      </c>
      <c r="B4" s="4">
        <f>CALIBRATIONDATES.NEW($H$5:$H$18)</f>
        <v/>
      </c>
      <c r="D4" s="2" t="inlineStr">
        <is>
          <t>field</t>
        </is>
      </c>
      <c r="E4" s="2" t="inlineStr">
        <is>
          <t>value</t>
        </is>
      </c>
      <c r="G4" s="2" t="inlineStr">
        <is>
          <t>index</t>
        </is>
      </c>
      <c r="H4" s="2" t="inlineStr">
        <is>
          <t>knot_date</t>
        </is>
      </c>
    </row>
    <row r="5">
      <c r="A5" s="5" t="inlineStr">
        <is>
          <t>Geometry</t>
        </is>
      </c>
      <c r="B5" s="4">
        <f>CURVEINSTRUMENTGEOMETRY.NEW($D$4:$E$14)</f>
        <v/>
      </c>
      <c r="D5" s="6" t="inlineStr">
        <is>
          <t>today</t>
        </is>
      </c>
      <c r="E5" s="7" t="n">
        <v>44562</v>
      </c>
      <c r="G5" s="6" t="n">
        <v>1</v>
      </c>
      <c r="H5" s="7" t="n">
        <v>44562</v>
      </c>
    </row>
    <row r="6">
      <c r="A6" s="5" t="inlineStr">
        <is>
          <t>Routes</t>
        </is>
      </c>
      <c r="B6" s="4">
        <f>CURVESCRIPTROUTES.NEW($D$17:$G$18)</f>
        <v/>
      </c>
      <c r="D6" s="6" t="inlineStr">
        <is>
          <t>currency</t>
        </is>
      </c>
      <c r="E6" s="6" t="inlineStr">
        <is>
          <t>USD</t>
        </is>
      </c>
      <c r="G6" s="6" t="n">
        <v>2</v>
      </c>
      <c r="H6" s="7" t="n">
        <v>44635</v>
      </c>
    </row>
    <row r="7">
      <c r="A7" s="5" t="inlineStr">
        <is>
          <t>Market</t>
        </is>
      </c>
      <c r="B7" s="4">
        <f>CURVEINSTRUMENTMARKET.NEW($D$21:$E$22)</f>
        <v/>
      </c>
      <c r="D7" s="6" t="inlineStr">
        <is>
          <t>curve_name</t>
        </is>
      </c>
      <c r="E7" s="6" t="inlineStr">
        <is>
          <t>ptirds</t>
        </is>
      </c>
      <c r="G7" s="6" t="n">
        <v>3</v>
      </c>
      <c r="H7" s="7" t="n">
        <v>44727</v>
      </c>
    </row>
    <row r="8">
      <c r="A8" s="5" t="inlineStr">
        <is>
          <t>Empty fixings</t>
        </is>
      </c>
      <c r="B8" s="4">
        <f>MARKETFIXINGSNAPSHOT.NEW(,,)</f>
        <v/>
      </c>
      <c r="D8" s="6" t="inlineStr">
        <is>
          <t>knot_dates</t>
        </is>
      </c>
      <c r="E8" s="6" t="inlineStr">
        <is>
          <t>$B$4</t>
        </is>
      </c>
      <c r="G8" s="6" t="n">
        <v>4</v>
      </c>
      <c r="H8" s="7" t="n">
        <v>44825</v>
      </c>
    </row>
    <row r="9">
      <c r="A9" s="5" t="inlineStr">
        <is>
          <t>Valuation</t>
        </is>
      </c>
      <c r="B9" s="4">
        <f>SCRIPTVALUATIONSETTINGS.NEW("ptirds-valuation",$D$25:$E$26,$B$8)</f>
        <v/>
      </c>
      <c r="D9" s="6" t="inlineStr">
        <is>
          <t>parameterization</t>
        </is>
      </c>
      <c r="E9" s="6" t="inlineStr">
        <is>
          <t>LOG_DISCOUNT</t>
        </is>
      </c>
      <c r="G9" s="6" t="n">
        <v>5</v>
      </c>
      <c r="H9" s="7" t="n">
        <v>44916</v>
      </c>
    </row>
    <row r="10">
      <c r="A10" s="5" t="inlineStr">
        <is>
          <t>Solver</t>
        </is>
      </c>
      <c r="B10" s="4">
        <f>CURVEINSTRUMENTSOLVER.NEW($D$29:$E$35)</f>
        <v/>
      </c>
      <c r="D10" s="6" t="inlineStr">
        <is>
          <t>knot_policy</t>
        </is>
      </c>
      <c r="E10" s="6" t="inlineStr">
        <is>
          <t>INPUT</t>
        </is>
      </c>
      <c r="G10" s="6" t="n">
        <v>6</v>
      </c>
      <c r="H10" s="7" t="n">
        <v>45000</v>
      </c>
    </row>
    <row r="11">
      <c r="A11" s="5" t="inlineStr">
        <is>
          <t>Options</t>
        </is>
      </c>
      <c r="B11" s="4">
        <f>CURVEINSTRUMENTCALIBRATIONOPTIONS.NEW($D$38:$E$42)</f>
        <v/>
      </c>
      <c r="D11" s="6" t="inlineStr">
        <is>
          <t>log_df_scheme</t>
        </is>
      </c>
      <c r="E11" s="6" t="inlineStr">
        <is>
          <t>MIXED</t>
        </is>
      </c>
      <c r="G11" s="6" t="n">
        <v>7</v>
      </c>
      <c r="H11" s="7" t="n">
        <v>45098</v>
      </c>
    </row>
    <row r="12">
      <c r="A12" s="5" t="inlineStr">
        <is>
          <t>Observations</t>
        </is>
      </c>
      <c r="B12" s="4">
        <f>CALIBRATIONOBSERVATIONS.NEW(Instruments!$E$4:$E$16)</f>
        <v/>
      </c>
      <c r="D12" s="6" t="inlineStr">
        <is>
          <t>calibrate_discount_curve</t>
        </is>
      </c>
      <c r="E12" s="6" t="b">
        <v>1</v>
      </c>
      <c r="G12" s="6" t="n">
        <v>8</v>
      </c>
      <c r="H12" s="7" t="n">
        <v>45189</v>
      </c>
    </row>
    <row r="13">
      <c r="A13" s="5" t="inlineStr">
        <is>
          <t>Spec</t>
        </is>
      </c>
      <c r="B13" s="4">
        <f>CURVEINSTRUMENTCALIBRATIONSPEC.NEW($D$45:$E$50)</f>
        <v/>
      </c>
      <c r="D13" s="6" t="inlineStr">
        <is>
          <t>target_collateral</t>
        </is>
      </c>
      <c r="E13" s="6" t="inlineStr">
        <is>
          <t>OIS</t>
        </is>
      </c>
      <c r="G13" s="6" t="n">
        <v>9</v>
      </c>
      <c r="H13" s="7" t="n">
        <v>45280</v>
      </c>
    </row>
    <row r="14">
      <c r="A14" s="5" t="inlineStr">
        <is>
          <t>Calibration</t>
        </is>
      </c>
      <c r="B14" s="4">
        <f>CALIBRATE.CURVEINSTRUMENTS($B$13,$B$11)</f>
        <v/>
      </c>
      <c r="D14" s="6" t="inlineStr">
        <is>
          <t>libor_basis</t>
        </is>
      </c>
      <c r="E14" s="6" t="inlineStr">
        <is>
          <t>ACT_365F</t>
        </is>
      </c>
      <c r="G14" s="6" t="n">
        <v>10</v>
      </c>
      <c r="H14" s="7" t="n">
        <v>45366</v>
      </c>
    </row>
    <row r="15">
      <c r="A15" s="5" t="inlineStr">
        <is>
          <t>Status</t>
        </is>
      </c>
      <c r="B15" s="4">
        <f>CALIBRATIONOUTCOME.GET.STATUS($B$14)</f>
        <v/>
      </c>
      <c r="G15" s="6" t="n">
        <v>11</v>
      </c>
      <c r="H15" s="7" t="n">
        <v>45658</v>
      </c>
    </row>
    <row r="16">
      <c r="A16" s="5" t="inlineStr">
        <is>
          <t>Report</t>
        </is>
      </c>
      <c r="B16" s="4">
        <f>CALIBRATIONOUTCOME.GET.REPORT($B$14)</f>
        <v/>
      </c>
      <c r="G16" s="6" t="n">
        <v>12</v>
      </c>
      <c r="H16" s="7" t="n">
        <v>46388</v>
      </c>
    </row>
    <row r="17">
      <c r="A17" s="5" t="inlineStr">
        <is>
          <t>Curve</t>
        </is>
      </c>
      <c r="B17" s="4">
        <f>CALIBRATIONOUTCOME.GET.CURVE($B$14)</f>
        <v/>
      </c>
      <c r="D17" s="2" t="inlineStr">
        <is>
          <t>id</t>
        </is>
      </c>
      <c r="E17" s="2" t="inlineStr">
        <is>
          <t>projection</t>
        </is>
      </c>
      <c r="F17" s="2" t="inlineStr">
        <is>
          <t>collateral</t>
        </is>
      </c>
      <c r="G17" s="2" t="inlineStr">
        <is>
          <t>tenor</t>
        </is>
      </c>
      <c r="H17" s="7" t="n">
        <v>47119</v>
      </c>
    </row>
    <row r="18">
      <c r="D18" s="6" t="inlineStr">
        <is>
          <t>USD.OIS</t>
        </is>
      </c>
      <c r="E18" s="6" t="b">
        <v>0</v>
      </c>
      <c r="F18" s="6" t="inlineStr">
        <is>
          <t>OIS</t>
        </is>
      </c>
      <c r="G18" s="6" t="n">
        <v>14</v>
      </c>
      <c r="H18" s="7" t="n">
        <v>48214</v>
      </c>
    </row>
    <row r="19"/>
    <row r="20"/>
    <row r="21">
      <c r="D21" s="2" t="inlineStr">
        <is>
          <t>field</t>
        </is>
      </c>
      <c r="E21" s="2" t="inlineStr">
        <is>
          <t>value</t>
        </is>
      </c>
    </row>
    <row r="22">
      <c r="A22" s="1" t="inlineStr">
        <is>
          <t>Observation report</t>
        </is>
      </c>
      <c r="D22" s="6" t="inlineStr">
        <is>
          <t>routes</t>
        </is>
      </c>
      <c r="E22" s="6" t="inlineStr">
        <is>
          <t>$B$6</t>
        </is>
      </c>
    </row>
    <row r="23">
      <c r="A23" s="4">
        <f>CALIBRATIONREPORT.GET.OBSERVATIONS($B$16)</f>
        <v/>
      </c>
    </row>
    <row r="24"/>
    <row r="25">
      <c r="D25" s="2" t="inlineStr">
        <is>
          <t>field</t>
        </is>
      </c>
      <c r="E25" s="2" t="inlineStr">
        <is>
          <t>value</t>
        </is>
      </c>
    </row>
    <row r="26">
      <c r="D26" s="6" t="inlineStr">
        <is>
          <t>evaluation_date</t>
        </is>
      </c>
      <c r="E26" s="7" t="n">
        <v>44562</v>
      </c>
    </row>
    <row r="27"/>
    <row r="28"/>
    <row r="29">
      <c r="D29" s="2" t="inlineStr">
        <is>
          <t>field</t>
        </is>
      </c>
      <c r="E29" s="2" t="inlineStr">
        <is>
          <t>value</t>
        </is>
      </c>
    </row>
    <row r="30">
      <c r="D30" s="6" t="inlineStr">
        <is>
          <t>solve_mode</t>
        </is>
      </c>
      <c r="E30" s="6" t="inlineStr">
        <is>
          <t>EXACT</t>
        </is>
      </c>
    </row>
    <row r="31">
      <c r="D31" s="6" t="inlineStr">
        <is>
          <t>initial_guess</t>
        </is>
      </c>
      <c r="E31" s="6" t="n">
        <v>0.05</v>
      </c>
    </row>
    <row r="32">
      <c r="D32" s="6" t="inlineStr">
        <is>
          <t>smoothing_weight</t>
        </is>
      </c>
      <c r="E32" s="6" t="n">
        <v>1</v>
      </c>
    </row>
    <row r="33">
      <c r="D33" s="6" t="inlineStr">
        <is>
          <t>max_evaluations</t>
        </is>
      </c>
      <c r="E33" s="6" t="n">
        <v>200</v>
      </c>
    </row>
    <row r="34">
      <c r="D34" s="6" t="inlineStr">
        <is>
          <t>max_restarts</t>
        </is>
      </c>
      <c r="E34" s="6" t="n">
        <v>20</v>
      </c>
    </row>
    <row r="35">
      <c r="D35" s="6" t="inlineStr">
        <is>
          <t>fit_norm_tolerance</t>
        </is>
      </c>
      <c r="E35" s="6" t="n">
        <v>1e-08</v>
      </c>
    </row>
    <row r="36"/>
    <row r="37"/>
    <row r="38">
      <c r="D38" s="2" t="inlineStr">
        <is>
          <t>field</t>
        </is>
      </c>
      <c r="E38" s="2" t="inlineStr">
        <is>
          <t>value</t>
        </is>
      </c>
    </row>
    <row r="39">
      <c r="D39" s="6" t="inlineStr">
        <is>
          <t>evaluation</t>
        </is>
      </c>
      <c r="E39" s="6" t="inlineStr">
        <is>
          <t>AutoFast</t>
        </is>
      </c>
    </row>
    <row r="40">
      <c r="A40" s="1" t="inlineStr">
        <is>
          <t>Fitted parameters</t>
        </is>
      </c>
      <c r="D40" s="6" t="inlineStr">
        <is>
          <t>jacobian_mode</t>
        </is>
      </c>
      <c r="E40" s="6" t="inlineStr">
        <is>
          <t>AAD</t>
        </is>
      </c>
    </row>
    <row r="41">
      <c r="A41" s="4">
        <f>CALIBRATIONREPORT.GET.PARAMETERS($B$16)</f>
        <v/>
      </c>
      <c r="D41" s="6" t="inlineStr">
        <is>
          <t>difference_step</t>
        </is>
      </c>
      <c r="E41" s="6" t="n">
        <v>1e-06</v>
      </c>
    </row>
    <row r="42">
      <c r="D42" s="6" t="inlineStr">
        <is>
          <t>compute_quote_jacobian</t>
        </is>
      </c>
      <c r="E42" s="6" t="b">
        <v>0</v>
      </c>
    </row>
    <row r="43"/>
    <row r="44"/>
    <row r="45">
      <c r="D45" s="2" t="inlineStr">
        <is>
          <t>field</t>
        </is>
      </c>
      <c r="E45" s="2" t="inlineStr">
        <is>
          <t>value</t>
        </is>
      </c>
    </row>
    <row r="46">
      <c r="D46" s="6" t="inlineStr">
        <is>
          <t>geometry</t>
        </is>
      </c>
      <c r="E46" s="6" t="inlineStr">
        <is>
          <t>$B$5</t>
        </is>
      </c>
    </row>
    <row r="47">
      <c r="D47" s="6" t="inlineStr">
        <is>
          <t>market</t>
        </is>
      </c>
      <c r="E47" s="6" t="inlineStr">
        <is>
          <t>$B$7</t>
        </is>
      </c>
    </row>
    <row r="48">
      <c r="D48" s="6" t="inlineStr">
        <is>
          <t>valuation</t>
        </is>
      </c>
      <c r="E48" s="6" t="inlineStr">
        <is>
          <t>$B$9</t>
        </is>
      </c>
    </row>
    <row r="49">
      <c r="D49" s="6" t="inlineStr">
        <is>
          <t>observations</t>
        </is>
      </c>
      <c r="E49" s="6" t="inlineStr">
        <is>
          <t>$B$12</t>
        </is>
      </c>
    </row>
    <row r="50">
      <c r="D50" s="6" t="inlineStr">
        <is>
          <t>solver</t>
        </is>
      </c>
      <c r="E50" s="6" t="inlineStr">
        <is>
          <t>$B$10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85" workbookViewId="0">
      <selection activeCell="A1" sqref="A1"/>
    </sheetView>
  </sheetViews>
  <sheetFormatPr baseColWidth="8" defaultRowHeight="15"/>
  <cols>
    <col width="115" customWidth="1" min="1" max="1"/>
    <col width="21" customWidth="1" min="2" max="2"/>
  </cols>
  <sheetData>
    <row r="1">
      <c r="A1" s="1" t="inlineStr">
        <is>
          <t>012.interpolate_curve_script</t>
        </is>
      </c>
    </row>
    <row r="2"/>
    <row r="3">
      <c r="A3" s="5" t="inlineStr">
        <is>
          <t>Initialize DAL</t>
        </is>
      </c>
      <c r="B3" s="4">
        <f>INIT.GLOBALDATA(1)</f>
        <v/>
      </c>
    </row>
    <row r="4"/>
    <row r="5">
      <c r="A5" s="8" t="inlineStr">
        <is>
          <t>The Instruments sheet constructs every definition from dated DAL script source rows. No native swap or native-to-script import function is used.</t>
        </is>
      </c>
    </row>
    <row r="6">
      <c r="A6" s="8" t="inlineStr">
        <is>
          <t>The three calibration sheets share the same 13 instruments, quotes and 14 knots. Only log_discount_scheme changes: LOG_LINEAR, LOG_CUBIC_NATURAL and MIXED.</t>
        </is>
      </c>
    </row>
    <row r="7">
      <c r="A7" s="8" t="inlineStr">
        <is>
          <t>ACT/365F accruals are unadjusted; the fixing date is the accrual start. N=100 and each K equals the original instrument's decimal par quote.</t>
        </is>
      </c>
    </row>
    <row r="8">
      <c r="A8" s="8" t="inlineStr">
        <is>
          <t>The solver uses EXACT, initial guess 0.05, smoothing weight 1, 200 evaluations, 20 restarts and fit_norm_tolerance 1e-8. AAD is selected explicitly.</t>
        </is>
      </c>
    </row>
    <row r="9">
      <c r="A9" s="8" t="inlineStr">
        <is>
          <t>Run INIT.GLOBALDATA(1), then recalculate the workbook. CALIBRATIONOUTCOME.GET.STATUS should return Succeeded on all three sheets.</t>
        </is>
      </c>
    </row>
    <row r="10">
      <c r="A10" s="8" t="inlineStr">
        <is>
          <t>Observation and parameter tables are spilled from the typed report. This file contains formulas, not cached results; generating it does not execute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2026-10-27T15:15:23Z</dcterms:created>
  <dcterms:modified xmlns:dcterms="http://purl.org/dc/terms/" xmlns:xsi="http://www.w3.org/2001/XMLSchema-instance" xsi:type="dcterms:W3CDTF">2026-10-27T15:15:24Z</dcterms:modified>
</cp:coreProperties>
</file>