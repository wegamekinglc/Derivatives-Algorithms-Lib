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 Instrument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zoomScale="85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15" customWidth="1" min="3" max="3"/>
    <col width="12" customWidth="1" min="4" max="4"/>
    <col width="21" customWidth="1" min="5" max="5"/>
    <col width="29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7" customWidth="1" min="16" max="16"/>
    <col width="12" customWidth="1" min="17" max="17"/>
    <col width="12" customWidth="1" min="18" max="18"/>
    <col width="13" customWidth="1" min="19" max="19"/>
    <col width="17" customWidth="1" min="20" max="20"/>
    <col width="12" customWidth="1" min="21" max="21"/>
    <col width="12" customWidth="1" min="22" max="22"/>
    <col width="13" customWidth="1" min="23" max="23"/>
    <col width="14" customWidth="1" min="24" max="24"/>
    <col width="17" customWidth="1" min="25" max="25"/>
    <col width="13" customWidth="1" min="26" max="26"/>
    <col width="83" customWidth="1" min="27" max="27"/>
  </cols>
  <sheetData>
    <row r="1">
      <c r="A1" s="1" t="inlineStr">
        <is>
          <t>eur-usd script definition</t>
        </is>
      </c>
    </row>
    <row r="2">
      <c r="A2" s="2" t="inlineStr">
        <is>
          <t>kind</t>
        </is>
      </c>
      <c r="B2" s="2" t="inlineStr">
        <is>
          <t>key</t>
        </is>
      </c>
      <c r="C2" s="2" t="inlineStr">
        <is>
          <t>text</t>
        </is>
      </c>
      <c r="E2" s="2" t="inlineStr">
        <is>
          <t>field</t>
        </is>
      </c>
      <c r="F2" s="2" t="inlineStr">
        <is>
          <t>value</t>
        </is>
      </c>
      <c r="H2" s="2" t="inlineStr">
        <is>
          <t>key</t>
        </is>
      </c>
      <c r="I2" s="2" t="inlineStr">
        <is>
          <t>type</t>
        </is>
      </c>
      <c r="J2" s="2" t="inlineStr">
        <is>
          <t>unit</t>
        </is>
      </c>
      <c r="K2" s="2" t="inlineStr">
        <is>
          <t>role</t>
        </is>
      </c>
      <c r="L2" s="2" t="inlineStr">
        <is>
          <t>bindable</t>
        </is>
      </c>
      <c r="M2" s="2" t="inlineStr">
        <is>
          <t>lower</t>
        </is>
      </c>
      <c r="N2" s="2" t="inlineStr">
        <is>
          <t>upper</t>
        </is>
      </c>
      <c r="O2" s="2" t="inlineStr">
        <is>
          <t>lower_inclusive</t>
        </is>
      </c>
      <c r="P2" s="2" t="inlineStr">
        <is>
          <t>upper_inclusive</t>
        </is>
      </c>
      <c r="S2" s="2" t="inlineStr">
        <is>
          <t>id</t>
        </is>
      </c>
      <c r="T2" s="2" t="inlineStr">
        <is>
          <t>kind</t>
        </is>
      </c>
      <c r="U2" s="2" t="inlineStr">
        <is>
          <t>receiver</t>
        </is>
      </c>
      <c r="V2" s="2" t="inlineStr">
        <is>
          <t>parameter</t>
        </is>
      </c>
      <c r="W2" s="2" t="inlineStr">
        <is>
          <t>unit</t>
        </is>
      </c>
      <c r="X2" s="2" t="inlineStr">
        <is>
          <t>annuity_sign</t>
        </is>
      </c>
      <c r="Y2" s="2" t="inlineStr">
        <is>
          <t>min_abs_annuity</t>
        </is>
      </c>
      <c r="Z2" s="3" t="inlineStr">
        <is>
          <t>Definition</t>
        </is>
      </c>
      <c r="AA2" s="4">
        <f>SCRIPTINSTRUMENTDEFINITION.NEW($A$2:$C$11,$E$2:$F$12,$H$2:$P$4,$S$2:$Y$4,)</f>
        <v/>
      </c>
    </row>
    <row r="3">
      <c r="A3" s="5" t="inlineStr">
        <is>
          <t>Definition</t>
        </is>
      </c>
      <c r="B3" s="5" t="inlineStr">
        <is>
          <t>N</t>
        </is>
      </c>
      <c r="C3" s="5" t="inlineStr">
        <is>
          <t>110</t>
        </is>
      </c>
      <c r="E3" s="5" t="inlineStr">
        <is>
          <t>pay_currency</t>
        </is>
      </c>
      <c r="F3" s="5" t="inlineStr">
        <is>
          <t>USD</t>
        </is>
      </c>
      <c r="H3" s="5" t="inlineStr">
        <is>
          <t>N</t>
        </is>
      </c>
      <c r="I3" s="5" t="inlineStr">
        <is>
          <t>Real</t>
        </is>
      </c>
      <c r="J3" s="5" t="inlineStr">
        <is>
          <t>Price:USD</t>
        </is>
      </c>
      <c r="K3" s="5" t="inlineStr">
        <is>
          <t>Notional</t>
        </is>
      </c>
      <c r="L3" s="5" t="b">
        <v>1</v>
      </c>
      <c r="M3" s="5" t="n">
        <v>0</v>
      </c>
      <c r="N3" s="5" t="n"/>
      <c r="O3" s="5" t="b">
        <v>0</v>
      </c>
      <c r="P3" s="5" t="b">
        <v>1</v>
      </c>
      <c r="S3" s="5" t="inlineStr">
        <is>
          <t>Price</t>
        </is>
      </c>
      <c r="T3" s="5" t="inlineStr">
        <is>
          <t>Price</t>
        </is>
      </c>
      <c r="U3" s="5" t="inlineStr">
        <is>
          <t>PAY</t>
        </is>
      </c>
      <c r="V3" s="5" t="n"/>
      <c r="W3" s="5" t="inlineStr">
        <is>
          <t>Price:USD</t>
        </is>
      </c>
      <c r="X3" s="5" t="n"/>
      <c r="Y3" s="5" t="n"/>
      <c r="Z3" s="3" t="inlineStr">
        <is>
          <t>Instrument</t>
        </is>
      </c>
      <c r="AA3" s="4">
        <f>SCRIPTCALIBRATIONINSTRUMENT.NEW("eur-usd",AA2,,DATE(2027,11,4))</f>
        <v/>
      </c>
    </row>
    <row r="4">
      <c r="A4" s="5" t="inlineStr">
        <is>
          <t>Definition</t>
        </is>
      </c>
      <c r="B4" s="5" t="inlineStr">
        <is>
          <t>K</t>
        </is>
      </c>
      <c r="C4" s="5" t="inlineStr">
        <is>
          <t>0.001</t>
        </is>
      </c>
      <c r="E4" s="5" t="inlineStr">
        <is>
          <t>result_currency</t>
        </is>
      </c>
      <c r="F4" s="5" t="inlineStr">
        <is>
          <t>USD</t>
        </is>
      </c>
      <c r="H4" s="5" t="inlineStr">
        <is>
          <t>K</t>
        </is>
      </c>
      <c r="I4" s="5" t="inlineStr">
        <is>
          <t>Real</t>
        </is>
      </c>
      <c r="J4" s="5" t="inlineStr">
        <is>
          <t>BasisSpread</t>
        </is>
      </c>
      <c r="K4" s="5" t="inlineStr">
        <is>
          <t>Coupon</t>
        </is>
      </c>
      <c r="L4" s="5" t="b">
        <v>1</v>
      </c>
      <c r="M4" s="5" t="n"/>
      <c r="N4" s="5" t="n"/>
      <c r="O4" s="5" t="b">
        <v>1</v>
      </c>
      <c r="P4" s="5" t="b">
        <v>1</v>
      </c>
      <c r="S4" s="5" t="inlineStr">
        <is>
          <t>BasisSpread</t>
        </is>
      </c>
      <c r="T4" s="5" t="inlineStr">
        <is>
          <t>ParAffineSpread</t>
        </is>
      </c>
      <c r="U4" s="5" t="inlineStr">
        <is>
          <t>PAY</t>
        </is>
      </c>
      <c r="V4" s="5" t="inlineStr">
        <is>
          <t>K</t>
        </is>
      </c>
      <c r="W4" s="5" t="inlineStr">
        <is>
          <t>BasisSpread</t>
        </is>
      </c>
      <c r="X4" s="5" t="n">
        <v>-1</v>
      </c>
      <c r="Y4" s="5" t="n">
        <v>1e-12</v>
      </c>
      <c r="Z4" s="3" t="inlineStr">
        <is>
          <t>Quote</t>
        </is>
      </c>
      <c r="AA4" s="4">
        <f>CALIBRATIONMARKETQUOTE.NEW("eur-usd-basis",-0.002983490837363863,"BasisSpread",)</f>
        <v/>
      </c>
    </row>
    <row r="5">
      <c r="A5" s="5" t="inlineStr">
        <is>
          <t>Event</t>
        </is>
      </c>
      <c r="B5" s="5" t="inlineStr">
        <is>
          <t>2027-08-04</t>
        </is>
      </c>
      <c r="C5" s="5" t="inlineStr">
        <is>
          <t>PAY PAYS N*(1*1*0.25555555555555554*(FIX(IR[USD,LIBOR_3M_LCH],2027-04-30)+0)*1)</t>
        </is>
      </c>
      <c r="E5" s="5" t="inlineStr">
        <is>
          <t>collateral_currency</t>
        </is>
      </c>
      <c r="F5" s="5" t="inlineStr">
        <is>
          <t>USD</t>
        </is>
      </c>
      <c r="Z5" s="3" t="inlineStr">
        <is>
          <t>Observation</t>
        </is>
      </c>
      <c r="AA5" s="4">
        <f>CALIBRATIONOBSERVATION.NEW("fit-basis",AA3,"BasisSpread",AA4,1E-10)</f>
        <v/>
      </c>
    </row>
    <row r="6">
      <c r="A6" s="5" t="inlineStr">
        <is>
          <t>Event</t>
        </is>
      </c>
      <c r="B6" s="5" t="inlineStr">
        <is>
          <t>2027-11-04</t>
        </is>
      </c>
      <c r="C6" s="5" t="inlineStr">
        <is>
          <t>PAY PAYS N*(1*1*0.25555555555555554*(FIX(IR[USD,LIBOR_3M_LCH],2027-08-02)+0)*1)</t>
        </is>
      </c>
      <c r="E6" s="5" t="inlineStr">
        <is>
          <t>collateral_type</t>
        </is>
      </c>
      <c r="F6" s="5" t="inlineStr">
        <is>
          <t>OIS</t>
        </is>
      </c>
    </row>
    <row r="7">
      <c r="A7" s="5" t="inlineStr">
        <is>
          <t>Event</t>
        </is>
      </c>
      <c r="B7" s="5" t="inlineStr">
        <is>
          <t>2027-11-08</t>
        </is>
      </c>
      <c r="C7" s="5" t="inlineStr">
        <is>
          <t>PAY PAYS N*(-1*0.9090909090909091*0.5111111111111111*(FIX(IR[EUR,LIBOR_6M_LCH],2027-04-30)+K)*SPOT())</t>
        </is>
      </c>
      <c r="E7" s="5" t="inlineStr">
        <is>
          <t>receiver</t>
        </is>
      </c>
      <c r="F7" s="5" t="inlineStr">
        <is>
          <t>PAY</t>
        </is>
      </c>
    </row>
    <row r="8">
      <c r="A8" s="5" t="inlineStr">
        <is>
          <t>Event</t>
        </is>
      </c>
      <c r="B8" s="5" t="inlineStr">
        <is>
          <t>2027-05-04</t>
        </is>
      </c>
      <c r="C8" s="5" t="inlineStr">
        <is>
          <t>PAY PAYS N*(-1*1*1)</t>
        </is>
      </c>
      <c r="E8" s="5" t="inlineStr">
        <is>
          <t>notional_parameter</t>
        </is>
      </c>
      <c r="F8" s="5" t="inlineStr">
        <is>
          <t>N</t>
        </is>
      </c>
    </row>
    <row r="9">
      <c r="A9" s="5" t="inlineStr">
        <is>
          <t>Event</t>
        </is>
      </c>
      <c r="B9" s="5" t="inlineStr">
        <is>
          <t>2027-05-04</t>
        </is>
      </c>
      <c r="C9" s="5" t="inlineStr">
        <is>
          <t>PAY PAYS N*(1*0.9090909090909091*SPOT())</t>
        </is>
      </c>
      <c r="E9" s="5" t="inlineStr">
        <is>
          <t>settlement</t>
        </is>
      </c>
      <c r="F9" s="5" t="inlineStr">
        <is>
          <t>AtEvent</t>
        </is>
      </c>
    </row>
    <row r="10">
      <c r="A10" s="5" t="inlineStr">
        <is>
          <t>Event</t>
        </is>
      </c>
      <c r="B10" s="5" t="inlineStr">
        <is>
          <t>2027-11-04</t>
        </is>
      </c>
      <c r="C10" s="5" t="inlineStr">
        <is>
          <t>PAY PAYS N*(1*1*1)</t>
        </is>
      </c>
      <c r="E10" s="5" t="inlineStr">
        <is>
          <t>valuation_cashflows</t>
        </is>
      </c>
      <c r="F10" s="5" t="inlineStr">
        <is>
          <t>IncludeUnsettledAtValuation</t>
        </is>
      </c>
    </row>
    <row r="11">
      <c r="A11" s="5" t="inlineStr">
        <is>
          <t>Event</t>
        </is>
      </c>
      <c r="B11" s="5" t="inlineStr">
        <is>
          <t>2027-11-04</t>
        </is>
      </c>
      <c r="C11" s="5" t="inlineStr">
        <is>
          <t>PAY PAYS N*(-1*0.9090909090909091*SPOT())</t>
        </is>
      </c>
      <c r="E11" s="5" t="inlineStr">
        <is>
          <t>discount_route</t>
        </is>
      </c>
      <c r="F11" s="5" t="inlineStr">
        <is>
          <t>USD.OIS</t>
        </is>
      </c>
    </row>
    <row r="12">
      <c r="E12" s="5" t="inlineStr">
        <is>
          <t>convention_set</t>
        </is>
      </c>
      <c r="F12" s="5" t="inlineStr">
        <is>
          <t>dal.fixed-dates/1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6" customWidth="1" min="1" max="1"/>
    <col width="19" customWidth="1" min="2" max="2"/>
    <col width="19" customWidth="1" min="3" max="3"/>
    <col width="12" customWidth="1" min="4" max="4"/>
    <col width="15" customWidth="1" min="5" max="5"/>
    <col width="57" customWidth="1" min="6" max="6"/>
    <col width="12" customWidth="1" min="7" max="7"/>
    <col width="24" customWidth="1" min="8" max="8"/>
    <col width="12" customWidth="1" min="9" max="9"/>
  </cols>
  <sheetData>
    <row r="1">
      <c r="A1" s="1" t="inlineStr">
        <is>
          <t>Direct-script XCCY basis calibration</t>
        </is>
      </c>
    </row>
    <row r="2">
      <c r="A2" s="6" t="inlineStr">
        <is>
          <t>USD/EUR fixed-notional swap; foreign spread; domestic collateral</t>
        </is>
      </c>
    </row>
    <row r="3"/>
    <row r="4">
      <c r="A4" s="2" t="inlineStr">
        <is>
          <t>curve_date</t>
        </is>
      </c>
      <c r="B4" s="2" t="inlineStr">
        <is>
          <t>USD_right_forward</t>
        </is>
      </c>
      <c r="C4" s="2" t="inlineStr">
        <is>
          <t>EUR_right_forward</t>
        </is>
      </c>
      <c r="E4" s="3" t="inlineStr">
        <is>
          <t>USD curve</t>
        </is>
      </c>
      <c r="F4" s="4">
        <f>DISCOUNTPWC.NEW("USD","USD",$A$5:$A$6,$B$5:$B$6,)</f>
        <v/>
      </c>
      <c r="H4" s="2" t="inlineStr">
        <is>
          <t>key</t>
        </is>
      </c>
      <c r="I4" s="2" t="inlineStr">
        <is>
          <t>curve</t>
        </is>
      </c>
    </row>
    <row r="5">
      <c r="A5" s="7" t="n">
        <v>46316</v>
      </c>
      <c r="B5" s="5" t="n">
        <v>0.04</v>
      </c>
      <c r="C5" s="5" t="n">
        <v>0.02</v>
      </c>
      <c r="E5" s="3" t="inlineStr">
        <is>
          <t>EUR curve</t>
        </is>
      </c>
      <c r="F5" s="4">
        <f>DISCOUNTPWC.NEW("EUR","EUR",$A$5:$A$6,$C$5:$C$6,)</f>
        <v/>
      </c>
      <c r="H5" s="5" t="inlineStr">
        <is>
          <t>OIS</t>
        </is>
      </c>
      <c r="I5" s="5" t="inlineStr">
        <is>
          <t>$F$4</t>
        </is>
      </c>
    </row>
    <row r="6">
      <c r="A6" s="7" t="n">
        <v>46695</v>
      </c>
      <c r="B6" s="5" t="n">
        <v>0.04</v>
      </c>
      <c r="C6" s="5" t="n">
        <v>0.02</v>
      </c>
      <c r="E6" s="3" t="inlineStr">
        <is>
          <t>USD discounts</t>
        </is>
      </c>
      <c r="F6" s="4">
        <f>CALIBRATIONDISCOUNTCURVES.NEW($H$4:$I$5)</f>
        <v/>
      </c>
    </row>
    <row r="7">
      <c r="E7" s="3" t="inlineStr">
        <is>
          <t>USD forwards</t>
        </is>
      </c>
      <c r="F7" s="4">
        <f>CALIBRATIONFORWARDCURVES.NEW($H$8:$I$9)</f>
        <v/>
      </c>
    </row>
    <row r="8">
      <c r="E8" s="3" t="inlineStr">
        <is>
          <t>USD block</t>
        </is>
      </c>
      <c r="F8" s="4">
        <f>CURVEBLOCK.NEW("USD","USD",$F$6,$F$7,"ACT_365F")</f>
        <v/>
      </c>
      <c r="H8" s="2" t="inlineStr">
        <is>
          <t>key</t>
        </is>
      </c>
      <c r="I8" s="2" t="inlineStr">
        <is>
          <t>curve</t>
        </is>
      </c>
    </row>
    <row r="9">
      <c r="E9" s="3" t="inlineStr">
        <is>
          <t>EUR discounts</t>
        </is>
      </c>
      <c r="F9" s="4">
        <f>CALIBRATIONDISCOUNTCURVES.NEW($H$12:$I$13)</f>
        <v/>
      </c>
      <c r="H9" s="5" t="inlineStr">
        <is>
          <t>QUARTERLY</t>
        </is>
      </c>
      <c r="I9" s="5" t="inlineStr">
        <is>
          <t>$F$4</t>
        </is>
      </c>
    </row>
    <row r="10">
      <c r="E10" s="3" t="inlineStr">
        <is>
          <t>EUR forwards</t>
        </is>
      </c>
      <c r="F10" s="4">
        <f>CALIBRATIONFORWARDCURVES.NEW($H$16:$I$17)</f>
        <v/>
      </c>
    </row>
    <row r="11">
      <c r="E11" s="3" t="inlineStr">
        <is>
          <t>EUR block</t>
        </is>
      </c>
      <c r="F11" s="4">
        <f>CURVEBLOCK.NEW("EUR","EUR",$F$9,$F$10,"ACT_365F")</f>
        <v/>
      </c>
    </row>
    <row r="12">
      <c r="E12" s="3" t="inlineStr">
        <is>
          <t>Currency pair</t>
        </is>
      </c>
      <c r="F12" s="4">
        <f>CURRENCYPAIR.NEW("USD","EUR")</f>
        <v/>
      </c>
      <c r="H12" s="2" t="inlineStr">
        <is>
          <t>key</t>
        </is>
      </c>
      <c r="I12" s="2" t="inlineStr">
        <is>
          <t>curve</t>
        </is>
      </c>
    </row>
    <row r="13">
      <c r="E13" s="3" t="inlineStr">
        <is>
          <t>Empty fixings</t>
        </is>
      </c>
      <c r="F13" s="4">
        <f>MARKETFIXINGSNAPSHOT.NEW(,,)</f>
        <v/>
      </c>
      <c r="H13" s="5" t="inlineStr">
        <is>
          <t>OIS</t>
        </is>
      </c>
      <c r="I13" s="5" t="inlineStr">
        <is>
          <t>$F$5</t>
        </is>
      </c>
    </row>
    <row r="14">
      <c r="E14" s="3" t="inlineStr">
        <is>
          <t>Context</t>
        </is>
      </c>
      <c r="F14" s="4">
        <f>XCCYSCRIPTCONTEXT.NEW($H$20:$I$25)</f>
        <v/>
      </c>
    </row>
    <row r="15">
      <c r="E15" s="3" t="inlineStr">
        <is>
          <t>Basis knots</t>
        </is>
      </c>
      <c r="F15" s="4">
        <f>CALIBRATIONDATES.NEW($A$6)</f>
        <v/>
      </c>
    </row>
    <row r="16">
      <c r="E16" s="3" t="inlineStr">
        <is>
          <t>Observations</t>
        </is>
      </c>
      <c r="F16" s="4">
        <f>CALIBRATIONOBSERVATIONS.NEW('Script Instrument'!$AA$5)</f>
        <v/>
      </c>
      <c r="H16" s="2" t="inlineStr">
        <is>
          <t>key</t>
        </is>
      </c>
      <c r="I16" s="2" t="inlineStr">
        <is>
          <t>curve</t>
        </is>
      </c>
    </row>
    <row r="17">
      <c r="E17" s="3" t="inlineStr">
        <is>
          <t>Options</t>
        </is>
      </c>
      <c r="F17" s="4">
        <f>CURVEINSTRUMENTCALIBRATIONOPTIONS.NEW($H$28:$I$32)</f>
        <v/>
      </c>
      <c r="H17" s="5" t="inlineStr">
        <is>
          <t>SEMIANNUAL</t>
        </is>
      </c>
      <c r="I17" s="5" t="inlineStr">
        <is>
          <t>$F$5</t>
        </is>
      </c>
    </row>
    <row r="18">
      <c r="E18" s="3" t="inlineStr">
        <is>
          <t>Spec</t>
        </is>
      </c>
      <c r="F18" s="4">
        <f>XCCYINSTRUMENTCALIBRATIONSPEC.NEW($H$35:$I$41)</f>
        <v/>
      </c>
    </row>
    <row r="19">
      <c r="E19" s="3" t="inlineStr">
        <is>
          <t>Calibration</t>
        </is>
      </c>
      <c r="F19" s="4">
        <f>CALIBRATE.XCCYINSTRUMENTS($F$18,$F$17)</f>
        <v/>
      </c>
    </row>
    <row r="20">
      <c r="E20" s="3" t="inlineStr">
        <is>
          <t>Status</t>
        </is>
      </c>
      <c r="F20" s="4">
        <f>CALIBRATIONOUTCOME.GET.STATUS($F$19)</f>
        <v/>
      </c>
      <c r="H20" s="2" t="inlineStr">
        <is>
          <t>field</t>
        </is>
      </c>
      <c r="I20" s="2" t="inlineStr">
        <is>
          <t>value</t>
        </is>
      </c>
    </row>
    <row r="21">
      <c r="E21" s="3" t="inlineStr">
        <is>
          <t>Report</t>
        </is>
      </c>
      <c r="F21" s="4">
        <f>CALIBRATIONOUTCOME.GET.REPORT($F$19)</f>
        <v/>
      </c>
      <c r="H21" s="5" t="inlineStr">
        <is>
          <t>valuation_time</t>
        </is>
      </c>
      <c r="I21" s="7" t="n">
        <v>46316</v>
      </c>
    </row>
    <row r="22">
      <c r="E22" s="3" t="inlineStr">
        <is>
          <t>Basis curve</t>
        </is>
      </c>
      <c r="F22" s="4">
        <f>CALIBRATIONOUTCOME.GET.CURVE($F$19)</f>
        <v/>
      </c>
      <c r="H22" s="5" t="inlineStr">
        <is>
          <t>pair</t>
        </is>
      </c>
      <c r="I22" s="5" t="inlineStr">
        <is>
          <t>$F$12</t>
        </is>
      </c>
    </row>
    <row r="23">
      <c r="H23" s="5" t="inlineStr">
        <is>
          <t>collateral_currency</t>
        </is>
      </c>
      <c r="I23" s="5" t="inlineStr">
        <is>
          <t>USD</t>
        </is>
      </c>
    </row>
    <row r="24">
      <c r="H24" s="5" t="inlineStr">
        <is>
          <t>discount_route</t>
        </is>
      </c>
      <c r="I24" s="5" t="inlineStr">
        <is>
          <t>USD.OIS</t>
        </is>
      </c>
    </row>
    <row r="25">
      <c r="H25" s="5" t="inlineStr">
        <is>
          <t>fixings</t>
        </is>
      </c>
      <c r="I25" s="5" t="inlineStr">
        <is>
          <t>$F$13</t>
        </is>
      </c>
    </row>
    <row r="26"/>
    <row r="27">
      <c r="A27" s="1" t="inlineStr">
        <is>
          <t>Observation report</t>
        </is>
      </c>
    </row>
    <row r="28">
      <c r="A28" s="4">
        <f>CALIBRATIONREPORT.GET.OBSERVATIONS($F$21)</f>
        <v/>
      </c>
      <c r="H28" s="2" t="inlineStr">
        <is>
          <t>field</t>
        </is>
      </c>
      <c r="I28" s="2" t="inlineStr">
        <is>
          <t>value</t>
        </is>
      </c>
    </row>
    <row r="29">
      <c r="H29" s="5" t="inlineStr">
        <is>
          <t>evaluation</t>
        </is>
      </c>
      <c r="I29" s="5" t="inlineStr">
        <is>
          <t>AutoFast</t>
        </is>
      </c>
    </row>
    <row r="30">
      <c r="H30" s="5" t="inlineStr">
        <is>
          <t>jacobian_mode</t>
        </is>
      </c>
      <c r="I30" s="5" t="inlineStr">
        <is>
          <t>AAD</t>
        </is>
      </c>
    </row>
    <row r="31">
      <c r="H31" s="5" t="inlineStr">
        <is>
          <t>difference_step</t>
        </is>
      </c>
      <c r="I31" s="5" t="n">
        <v>1e-06</v>
      </c>
    </row>
    <row r="32">
      <c r="A32" s="1" t="inlineStr">
        <is>
          <t>Fitted basis forward</t>
        </is>
      </c>
      <c r="H32" s="5" t="inlineStr">
        <is>
          <t>compute_quote_jacobian</t>
        </is>
      </c>
      <c r="I32" s="5" t="b">
        <v>1</v>
      </c>
    </row>
    <row r="33">
      <c r="A33" s="4">
        <f>CALIBRATIONREPORT.GET.PARAMETERS($F$21)</f>
        <v/>
      </c>
    </row>
    <row r="34"/>
    <row r="35">
      <c r="H35" s="2" t="inlineStr">
        <is>
          <t>field</t>
        </is>
      </c>
      <c r="I35" s="2" t="inlineStr">
        <is>
          <t>value</t>
        </is>
      </c>
    </row>
    <row r="36">
      <c r="H36" s="5" t="inlineStr">
        <is>
          <t>context</t>
        </is>
      </c>
      <c r="I36" s="5" t="inlineStr">
        <is>
          <t>$F$14</t>
        </is>
      </c>
    </row>
    <row r="37">
      <c r="H37" s="5" t="inlineStr">
        <is>
          <t>domestic_curve_block</t>
        </is>
      </c>
      <c r="I37" s="5" t="inlineStr">
        <is>
          <t>$F$8</t>
        </is>
      </c>
    </row>
    <row r="38">
      <c r="H38" s="5" t="inlineStr">
        <is>
          <t>foreign_curve_block</t>
        </is>
      </c>
      <c r="I38" s="5" t="inlineStr">
        <is>
          <t>$F$11</t>
        </is>
      </c>
    </row>
    <row r="39">
      <c r="H39" s="5" t="inlineStr">
        <is>
          <t>fx_spot</t>
        </is>
      </c>
      <c r="I39" s="5" t="n">
        <v>1.1</v>
      </c>
    </row>
    <row r="40">
      <c r="H40" s="5" t="inlineStr">
        <is>
          <t>knot_dates</t>
        </is>
      </c>
      <c r="I40" s="5" t="inlineStr">
        <is>
          <t>$F$15</t>
        </is>
      </c>
    </row>
    <row r="41">
      <c r="H41" s="5" t="inlineStr">
        <is>
          <t>observations</t>
        </is>
      </c>
      <c r="I41" s="5" t="inlineStr">
        <is>
          <t>$F$16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selection activeCell="A1" sqref="A1"/>
    </sheetView>
  </sheetViews>
  <sheetFormatPr baseColWidth="8" defaultRowHeight="15"/>
  <cols>
    <col width="115" customWidth="1" min="1" max="1"/>
    <col width="21" customWidth="1" min="2" max="2"/>
  </cols>
  <sheetData>
    <row r="1">
      <c r="A1" s="1" t="inlineStr">
        <is>
          <t>013.xccy_script_calibration</t>
        </is>
      </c>
    </row>
    <row r="2"/>
    <row r="3">
      <c r="A3" s="3" t="inlineStr">
        <is>
          <t>Initialize DAL</t>
        </is>
      </c>
      <c r="B3" s="4">
        <f>INIT.GLOBALDATA(1)</f>
        <v/>
      </c>
    </row>
    <row r="4"/>
    <row r="5">
      <c r="A5" s="8" t="inlineStr">
        <is>
          <t>The Script Instrument sheet contains the complete direct source definition: two USD 3M coupons, one EUR 6M spread coupon, and initial/final principal exchanges with FX conversion.</t>
        </is>
      </c>
    </row>
    <row r="6">
      <c r="A6" s="8" t="inlineStr">
        <is>
          <t>N=110 USD, foreign/domestic notional ratio=100/110, K=0.001, spread on the foreign leg, explicit USD.OIS collateral, and signed BasisSpread measure with annuity sign -1 and floor 1e-12.</t>
        </is>
      </c>
    </row>
    <row r="7">
      <c r="A7" s="8" t="inlineStr">
        <is>
          <t>The calibration uses USD 4% and EUR 2% piecewise-constant forward curves, FX spot 1.1, one basis knot at 2027-11-04, and the original quote -0.002983490837363863.</t>
        </is>
      </c>
    </row>
    <row r="8">
      <c r="A8" s="8" t="inlineStr">
        <is>
          <t>The default XCCY solver initial guess is 0. The basis parameterization is PIECEWISE_CONSTANT_FWD. Options select AAD and the quote Jacobian.</t>
        </is>
      </c>
    </row>
    <row r="9">
      <c r="A9" s="8" t="inlineStr">
        <is>
          <t>Run INIT.GLOBALDATA(1), then recalculate. The expected basis forward is 0.003 and the outcome status is Succeeded.</t>
        </is>
      </c>
    </row>
    <row r="10">
      <c r="A10" s="8" t="inlineStr">
        <is>
          <t>This file contains formulas, not cached results; generating it does not execute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2026-10-27T15:15:24Z</dcterms:created>
  <dcterms:modified xmlns:dcterms="http://purl.org/dc/terms/" xmlns:xsi="http://www.w3.org/2001/XMLSchema-instance" xsi:type="dcterms:W3CDTF">2026-10-27T15:15:24Z</dcterms:modified>
</cp:coreProperties>
</file>