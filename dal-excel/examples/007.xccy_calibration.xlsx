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github\Derivatives-Algorithms-Lib\dal-excel\examples\"/>
    </mc:Choice>
  </mc:AlternateContent>
  <xr:revisionPtr revIDLastSave="0" documentId="13_ncr:1_{CD5E702A-1254-49A8-BE35-2E60C77C27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XCCY Calibration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A36" i="1"/>
  <c r="A35" i="1"/>
  <c r="B16" i="1"/>
  <c r="B15" i="1"/>
  <c r="B14" i="1"/>
  <c r="B13" i="1"/>
  <c r="B12" i="1"/>
  <c r="B11" i="1"/>
  <c r="B10" i="1"/>
  <c r="B28" i="1"/>
  <c r="B27" i="1"/>
  <c r="B26" i="1"/>
  <c r="B25" i="1"/>
  <c r="B24" i="1"/>
  <c r="B19" i="1"/>
  <c r="B21" i="1" s="1"/>
  <c r="B18" i="1"/>
  <c r="B20" i="1" s="1"/>
  <c r="C6" i="1" a="1"/>
  <c r="B5" i="1"/>
  <c r="A32" i="1"/>
  <c r="B44" i="1" s="1"/>
  <c r="B48" i="1"/>
  <c r="B49" i="1"/>
  <c r="B50" i="1"/>
  <c r="B51" i="1"/>
  <c r="B52" i="1"/>
  <c r="B53" i="1"/>
  <c r="C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<sst xmlns="http://schemas.openxmlformats.org/spreadsheetml/2006/main" count="72" uniqueCount="72">
  <si>
    <t>007.xccy_calibration — Cross-Currency Basis Calibration</t>
  </si>
  <si>
    <t>Calibrate the USD/EUR cross-currency basis curve from a single basis swap. Exactly-determined: 1 instrument pins 1 free forward segment (2 knots). Residuals should be at machine-epsilon level.</t>
  </si>
  <si>
    <t>Setup</t>
  </si>
  <si>
    <t>Init DAL</t>
  </si>
  <si>
    <t>Run once before using any DAL functions</t>
  </si>
  <si>
    <t>Evaluation Date</t>
  </si>
  <si>
    <t>Flat OIS Discount Curves</t>
  </si>
  <si>
    <t>Tenor</t>
  </si>
  <si>
    <t>Knot Date</t>
  </si>
  <si>
    <t>USD fwd</t>
  </si>
  <si>
    <t>EUR fwd</t>
  </si>
  <si>
    <t>1Y</t>
  </si>
  <si>
    <t>2Y</t>
  </si>
  <si>
    <t>3Y</t>
  </si>
  <si>
    <t>5Y</t>
  </si>
  <si>
    <t>10Y</t>
  </si>
  <si>
    <t>20Y</t>
  </si>
  <si>
    <t>30Y</t>
  </si>
  <si>
    <t>USD curve</t>
  </si>
  <si>
    <t>EUR curve</t>
  </si>
  <si>
    <t>USD block</t>
  </si>
  <si>
    <t>EUR block</t>
  </si>
  <si>
    <t>Conventions</t>
  </si>
  <si>
    <t>Domestic index (12M)</t>
  </si>
  <si>
    <t>Domestic leg (12M)</t>
  </si>
  <si>
    <t>Foreign index (12M)</t>
  </si>
  <si>
    <t>Foreign leg (12M)</t>
  </si>
  <si>
    <t>Currency pair</t>
  </si>
  <si>
    <t>Instrument</t>
  </si>
  <si>
    <t>Handle</t>
  </si>
  <si>
    <t>Market spread</t>
  </si>
  <si>
    <t>Basis Knot Dates</t>
  </si>
  <si>
    <t>Calibration Settings</t>
  </si>
  <si>
    <t>fxSpot</t>
  </si>
  <si>
    <t>smoothingWeight</t>
  </si>
  <si>
    <t>tolerance</t>
  </si>
  <si>
    <t>fitTolerance</t>
  </si>
  <si>
    <t>Calibrate</t>
  </si>
  <si>
    <t>Returns a result handle; use XCCYCALIBRATIONRESULT.GET / .GET.BASISCURVE</t>
  </si>
  <si>
    <t>Results</t>
  </si>
  <si>
    <t>Output</t>
  </si>
  <si>
    <t>Formula</t>
  </si>
  <si>
    <t>Description</t>
  </si>
  <si>
    <t>Basis Curve</t>
  </si>
  <si>
    <t>Calibrated basis discount curve handle</t>
  </si>
  <si>
    <t>Max Abs Residual</t>
  </si>
  <si>
    <t>Scalar — max absolute residual (bp)</t>
  </si>
  <si>
    <t>RMS Residual</t>
  </si>
  <si>
    <t>Scalar — root-mean-square residual (bp)</t>
  </si>
  <si>
    <t>Market Spread</t>
  </si>
  <si>
    <t>Quoted basis spread per instrument</t>
  </si>
  <si>
    <t>Model Spread</t>
  </si>
  <si>
    <t>Model-implied basis spread per instrument</t>
  </si>
  <si>
    <t>Residuals</t>
  </si>
  <si>
    <t>(model - market) per instrument</t>
  </si>
  <si>
    <t>Expected Behaviour</t>
  </si>
  <si>
    <t>1. Open the file, enable macros if prompted (DAL add-in must be loaded).</t>
  </si>
  <si>
    <t>2. Excel recalculates — calibration results appear automatically.</t>
  </si>
  <si>
    <t>3. Exactly-determined: 1 basis swap pins 1 free forward segment (2 knots).</t>
  </si>
  <si>
    <t>4. With the EXACT solver, residuals should be at machine-epsilon (~1e-15).</t>
  </si>
  <si>
    <t>Setup mirrors dal-python/examples/006.xccy_calibration.py:</t>
  </si>
  <si>
    <t xml:space="preserve">  USD OIS 2.0%, EUR OIS 1.0%, FX spot EURUSD = 1.10.</t>
  </si>
  <si>
    <t xml:space="preserve">  Single 2Y cross-currency basis swap at 0 spread (110 USD / 100 EUR notional).</t>
  </si>
  <si>
    <t>CALIBRATE.XCCYMARKET returns a single result handle bundling the basis curve</t>
  </si>
  <si>
    <t>and fit diagnostics. Extract with:</t>
  </si>
  <si>
    <t xml:space="preserve">  XCCYCALIBRATIONRESULT.GET.BASISCURVE(result)        -&gt; basis curve handle</t>
  </si>
  <si>
    <t xml:space="preserve">  XCCYCALIBRATIONRESULT.GET(result, "maxAbsResidual") -&gt; scalar stat</t>
  </si>
  <si>
    <t xml:space="preserve">  XCCYCALIBRATIONRESULT.GET(result, "residuals")      -&gt; per-instrument column</t>
  </si>
  <si>
    <t xml:space="preserve">    (also marketRates, modelRates, rmsResidual)</t>
  </si>
  <si>
    <t>Settings keys: fxSpot, fxForwardCollateral, smoothingWeight, tolerance,</t>
  </si>
  <si>
    <t>fitTolerance, initialGuess, maxEvaluations, maxRestarts, solveMode.</t>
  </si>
  <si>
    <t>Maturity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</si>
</sst>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%"/>
  </numFmts>
  <fonts count="10" x14ac:knownFonts="1">
    <font>
      <sz val="11"/>
      <color theme="1"/>
      <name val="宋体"/>
      <family val="2"/>
      <scheme val="minor"/>
    </font>
    <font>
      <b/>
      <sz val="13"/>
      <name val="Calibri"/>
    </font>
    <font>
      <sz val="11"/>
      <name val="Calibri"/>
    </font>
    <font>
      <sz val="9"/>
      <name val="宋体"/>
      <family val="3"/>
      <charset val="134"/>
      <scheme val="minor"/>
    </font>
    <font>
      <b/>
      <sz val="13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b/>
      <sz val="11"/>
      <name val="Consolas"/>
      <family val="3"/>
    </font>
    <font>
      <sz val="10"/>
      <color rgb="FF555555"/>
      <name val="Consolas"/>
      <family val="3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76" fontId="9" fillId="0" borderId="0" xfId="0" applyNumberFormat="1" applyFont="1"/>
    <xf numFmtId="0" fontId="7" fillId="2" borderId="0" xfId="0" applyFont="1" applyFill="1"/>
    <xf numFmtId="177" fontId="9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7" workbookViewId="0">
      <selection activeCell="H31" sqref="A1:XFD1048576"/>
    </sheetView>
  </sheetViews>
  <sheetFormatPr defaultRowHeight="15" x14ac:dyDescent="0.25"/>
  <cols>
    <col min="1" max="3" width="60" style="4" customWidth="1"/>
    <col min="4" max="4" width="10" style="4" customWidth="1"/>
    <col min="5" max="16384" width="9" style="4"/>
  </cols>
  <sheetData>
    <row r="1" spans="1:4" ht="16.5" x14ac:dyDescent="0.25">
      <c r="A1" s="3" t="s">
        <v>0</v>
      </c>
    </row>
    <row r="2" spans="1:4" x14ac:dyDescent="0.25">
      <c r="A2" s="5" t="s">
        <v>1</v>
      </c>
    </row>
    <row r="4" spans="1:4" x14ac:dyDescent="0.25">
      <c r="A4" s="6" t="s">
        <v>2</v>
      </c>
    </row>
    <row r="5" spans="1:4" x14ac:dyDescent="0.25">
      <c r="A5" s="7" t="s">
        <v>3</v>
      </c>
      <c r="B5" s="8" t="b">
        <f>_xll.INIT.GLOBALDATA(0)</f>
        <v>1</v>
      </c>
      <c r="C5" s="4" t="s">
        <v>4</v>
      </c>
    </row>
    <row r="6" spans="1:4" x14ac:dyDescent="0.25">
      <c r="A6" s="7" t="s">
        <v>5</v>
      </c>
      <c r="B6" s="9">
        <v>45306</v>
      </c>
      <c r="C6" s="4" cm="1">
        <f t="array" ref="C6">_xll.EVALUATIONDATE.SET(B6)</f>
        <v>45306</v>
      </c>
    </row>
    <row r="8" spans="1:4" x14ac:dyDescent="0.25">
      <c r="A8" s="6" t="s">
        <v>6</v>
      </c>
    </row>
    <row r="9" spans="1:4" x14ac:dyDescent="0.25">
      <c r="A9" s="10" t="s">
        <v>7</v>
      </c>
      <c r="B9" s="10" t="s">
        <v>8</v>
      </c>
      <c r="C9" s="10" t="s">
        <v>9</v>
      </c>
      <c r="D9" s="10" t="s">
        <v>10</v>
      </c>
    </row>
    <row r="10" spans="1:4" x14ac:dyDescent="0.25">
      <c r="A10" s="5" t="s">
        <v>11</v>
      </c>
      <c r="B10" s="9">
        <f>B6+365</f>
        <v>45671</v>
      </c>
      <c r="C10" s="11">
        <v>0.02</v>
      </c>
      <c r="D10" s="11">
        <v>0.01</v>
      </c>
    </row>
    <row r="11" spans="1:4" x14ac:dyDescent="0.25">
      <c r="A11" s="5" t="s">
        <v>12</v>
      </c>
      <c r="B11" s="9">
        <f>B6+730</f>
        <v>46036</v>
      </c>
      <c r="C11" s="11">
        <v>2.1000000000000001E-2</v>
      </c>
      <c r="D11" s="11">
        <v>1.2500000000000001E-2</v>
      </c>
    </row>
    <row r="12" spans="1:4" x14ac:dyDescent="0.25">
      <c r="A12" s="5" t="s">
        <v>13</v>
      </c>
      <c r="B12" s="9">
        <f>B6+1095</f>
        <v>46401</v>
      </c>
      <c r="C12" s="11">
        <v>2.1999999999999999E-2</v>
      </c>
      <c r="D12" s="11">
        <v>1.4999999999999999E-2</v>
      </c>
    </row>
    <row r="13" spans="1:4" x14ac:dyDescent="0.25">
      <c r="A13" s="5" t="s">
        <v>14</v>
      </c>
      <c r="B13" s="9">
        <f>B6+1825</f>
        <v>47131</v>
      </c>
      <c r="C13" s="11">
        <v>2.3E-2</v>
      </c>
      <c r="D13" s="11">
        <v>1.7500000000000002E-2</v>
      </c>
    </row>
    <row r="14" spans="1:4" x14ac:dyDescent="0.25">
      <c r="A14" s="5" t="s">
        <v>15</v>
      </c>
      <c r="B14" s="9">
        <f>B6+3650</f>
        <v>48956</v>
      </c>
      <c r="C14" s="11">
        <v>2.4E-2</v>
      </c>
      <c r="D14" s="11">
        <v>0.02</v>
      </c>
    </row>
    <row r="15" spans="1:4" x14ac:dyDescent="0.25">
      <c r="A15" s="5" t="s">
        <v>16</v>
      </c>
      <c r="B15" s="9">
        <f>B6+7300</f>
        <v>52606</v>
      </c>
      <c r="C15" s="11">
        <v>2.5000000000000001E-2</v>
      </c>
      <c r="D15" s="11">
        <v>2.2499999999999999E-2</v>
      </c>
    </row>
    <row r="16" spans="1:4" x14ac:dyDescent="0.25">
      <c r="A16" s="5" t="s">
        <v>17</v>
      </c>
      <c r="B16" s="9">
        <f>B6+10950</f>
        <v>56256</v>
      </c>
      <c r="C16" s="11">
        <v>2.5999999999999999E-2</v>
      </c>
      <c r="D16" s="11">
        <v>2.5000000000000001E-2</v>
      </c>
    </row>
    <row r="18" spans="1:3" x14ac:dyDescent="0.25">
      <c r="A18" s="7" t="s">
        <v>18</v>
      </c>
      <c r="B18" s="8" t="str">
        <f>_xll.DISCOUNTPWLF.NEW("USD","USD",B10:B16,C10:C16)</f>
        <v>~DiscountCurve~~000001D48B6C9DE0</v>
      </c>
    </row>
    <row r="19" spans="1:3" x14ac:dyDescent="0.25">
      <c r="A19" s="7" t="s">
        <v>19</v>
      </c>
      <c r="B19" s="8" t="str">
        <f>_xll.DISCOUNTPWLF.NEW("EUR","EUR",B10:B16,D10:D16)</f>
        <v>~DiscountCurve~~000001D48B6C9720</v>
      </c>
    </row>
    <row r="20" spans="1:3" x14ac:dyDescent="0.25">
      <c r="A20" s="7" t="s">
        <v>20</v>
      </c>
      <c r="B20" s="8" t="str">
        <f>_xll.CURVEBLOCK.NEW.SIMPLE(B18,"ACT_365F")</f>
        <v>~CurveBlock~~000001D48B6C9840</v>
      </c>
    </row>
    <row r="21" spans="1:3" x14ac:dyDescent="0.25">
      <c r="A21" s="7" t="s">
        <v>21</v>
      </c>
      <c r="B21" s="8" t="str">
        <f>_xll.CURVEBLOCK.NEW.SIMPLE(B19,"ACT_365F")</f>
        <v>~CurveBlock~~000001D48B6CA9E0</v>
      </c>
    </row>
    <row r="23" spans="1:3" x14ac:dyDescent="0.25">
      <c r="A23" s="6" t="s">
        <v>22</v>
      </c>
    </row>
    <row r="24" spans="1:3" x14ac:dyDescent="0.25">
      <c r="A24" s="7" t="s">
        <v>23</v>
      </c>
      <c r="B24" s="8" t="str">
        <f>_xll.RATEINDEXCONVENTION.NEW("12M","ACT_365F","OIS",TRUE)</f>
        <v>~RateIndexConvention~~000001D48B6088A0</v>
      </c>
    </row>
    <row r="25" spans="1:3" x14ac:dyDescent="0.25">
      <c r="A25" s="7" t="s">
        <v>24</v>
      </c>
      <c r="B25" s="8" t="str">
        <f>_xll.RATELEGCONVENTION.NEW("12M","ACT_365F")</f>
        <v>~RateLegConvention~~000001D4949AB7C0</v>
      </c>
    </row>
    <row r="26" spans="1:3" x14ac:dyDescent="0.25">
      <c r="A26" s="7" t="s">
        <v>25</v>
      </c>
      <c r="B26" s="8" t="str">
        <f>_xll.RATEINDEXCONVENTION.NEW("12M","ACT_365F","OIS",TRUE)</f>
        <v>~RateIndexConvention~~000001D4ABDD9010</v>
      </c>
    </row>
    <row r="27" spans="1:3" x14ac:dyDescent="0.25">
      <c r="A27" s="7" t="s">
        <v>26</v>
      </c>
      <c r="B27" s="8" t="str">
        <f>_xll.RATELEGCONVENTION.NEW("12M","ACT_365F")</f>
        <v>~RateLegConvention~~000001D4949AB500</v>
      </c>
    </row>
    <row r="28" spans="1:3" x14ac:dyDescent="0.25">
      <c r="A28" s="7" t="s">
        <v>27</v>
      </c>
      <c r="B28" s="8" t="str">
        <f>_xll.CURRENCYPAIR.NEW("USD","EUR")</f>
        <v>~CurrencyPair~~000001D48B6C9D80</v>
      </c>
    </row>
    <row r="30" spans="1:3" x14ac:dyDescent="0.25">
      <c r="A30" s="6" t="s">
        <v>28</v>
      </c>
    </row>
    <row r="31" spans="1:3" x14ac:dyDescent="0.25">
      <c r="A31" s="10" t="s">
        <v>29</v>
      </c>
      <c r="B31" s="10" t="s">
        <v>71</v>
      </c>
      <c r="C31" s="10" t="s">
        <v>30</v>
      </c>
    </row>
    <row r="32" spans="1:3" x14ac:dyDescent="0.25">
      <c r="A32" s="8" t="str">
        <f>_xll.CROSSCURRENCYSWAP.NEW(B6,B6,B6+720,0,B28,B25,B24,B27,B26,110,100)</f>
        <v>~CrossCurrencySwap~~000001D48B6C99C0</v>
      </c>
      <c r="B32" s="9">
        <f>B6+720</f>
        <v>46026</v>
      </c>
      <c r="C32" s="11">
        <v>0</v>
      </c>
    </row>
    <row r="34" spans="1:3" x14ac:dyDescent="0.25">
      <c r="A34" s="6" t="s">
        <v>31</v>
      </c>
    </row>
    <row r="35" spans="1:3" x14ac:dyDescent="0.25">
      <c r="A35" s="9">
        <f>B6+365</f>
        <v>45671</v>
      </c>
    </row>
    <row r="36" spans="1:3" x14ac:dyDescent="0.25">
      <c r="A36" s="9">
        <f>B6+730</f>
        <v>46036</v>
      </c>
    </row>
    <row r="38" spans="1:3" x14ac:dyDescent="0.25">
      <c r="A38" s="10" t="s">
        <v>32</v>
      </c>
      <c r="B38" s="10"/>
    </row>
    <row r="39" spans="1:3" x14ac:dyDescent="0.25">
      <c r="A39" s="8" t="s">
        <v>33</v>
      </c>
      <c r="B39" s="8">
        <v>1.1000000000000001</v>
      </c>
    </row>
    <row r="40" spans="1:3" x14ac:dyDescent="0.25">
      <c r="A40" s="8" t="s">
        <v>34</v>
      </c>
      <c r="B40" s="8">
        <v>1</v>
      </c>
    </row>
    <row r="41" spans="1:3" x14ac:dyDescent="0.25">
      <c r="A41" s="8" t="s">
        <v>35</v>
      </c>
      <c r="B41" s="8">
        <v>1E-10</v>
      </c>
    </row>
    <row r="42" spans="1:3" x14ac:dyDescent="0.25">
      <c r="A42" s="8" t="s">
        <v>36</v>
      </c>
      <c r="B42" s="8">
        <v>9.9999999999999995E-7</v>
      </c>
    </row>
    <row r="44" spans="1:3" x14ac:dyDescent="0.25">
      <c r="A44" s="6" t="s">
        <v>37</v>
      </c>
      <c r="B44" s="8" t="str">
        <f>_xll.CALIBRATE.XCCYMARKET(B6,"USD","EUR",B20,B21,A32,A35:A36,A39:B42)</f>
        <v>~CrossCurrencyCalibrationResult~~000001D48B9337C0</v>
      </c>
      <c r="C44" s="4" t="s">
        <v>38</v>
      </c>
    </row>
    <row r="46" spans="1:3" x14ac:dyDescent="0.25">
      <c r="A46" s="6" t="s">
        <v>39</v>
      </c>
    </row>
    <row r="47" spans="1:3" x14ac:dyDescent="0.25">
      <c r="A47" s="10" t="s">
        <v>40</v>
      </c>
      <c r="B47" s="10" t="s">
        <v>41</v>
      </c>
      <c r="C47" s="10" t="s">
        <v>42</v>
      </c>
    </row>
    <row r="48" spans="1:3" x14ac:dyDescent="0.25">
      <c r="A48" s="5" t="s">
        <v>43</v>
      </c>
      <c r="B48" s="8" t="str">
        <f>_xll.XCCYCALIBRATIONRESULT.GET.BASISCURVE(B44)</f>
        <v>~DiscountCurve~~000001D48B6C97E0</v>
      </c>
      <c r="C48" s="5" t="s">
        <v>44</v>
      </c>
    </row>
    <row r="49" spans="1:3" x14ac:dyDescent="0.25">
      <c r="A49" s="5" t="s">
        <v>45</v>
      </c>
      <c r="B49" s="8">
        <f>_xll.XCCYCALIBRATIONRESULT.GET(B44,"maxAbsResidual")</f>
        <v>2.7893927451802662E-15</v>
      </c>
      <c r="C49" s="5" t="s">
        <v>46</v>
      </c>
    </row>
    <row r="50" spans="1:3" x14ac:dyDescent="0.25">
      <c r="A50" s="5" t="s">
        <v>47</v>
      </c>
      <c r="B50" s="8">
        <f>_xll.XCCYCALIBRATIONRESULT.GET(B44,"rmsResidual")</f>
        <v>2.7893927451802662E-15</v>
      </c>
      <c r="C50" s="5" t="s">
        <v>48</v>
      </c>
    </row>
    <row r="51" spans="1:3" x14ac:dyDescent="0.25">
      <c r="A51" s="5" t="s">
        <v>49</v>
      </c>
      <c r="B51" s="8">
        <f>_xll.XCCYCALIBRATIONRESULT.GET(B44,"marketRates")</f>
        <v>0</v>
      </c>
      <c r="C51" s="5" t="s">
        <v>50</v>
      </c>
    </row>
    <row r="52" spans="1:3" x14ac:dyDescent="0.25">
      <c r="A52" s="5" t="s">
        <v>51</v>
      </c>
      <c r="B52" s="8">
        <f>_xll.XCCYCALIBRATIONRESULT.GET(B44,"modelRates")</f>
        <v>-2.7893927451802662E-15</v>
      </c>
      <c r="C52" s="5" t="s">
        <v>52</v>
      </c>
    </row>
    <row r="53" spans="1:3" x14ac:dyDescent="0.25">
      <c r="A53" s="5" t="s">
        <v>53</v>
      </c>
      <c r="B53" s="8">
        <f>_xll.XCCYCALIBRATIONRESULT.GET(B44,"residuals")</f>
        <v>-2.7893927451802662E-15</v>
      </c>
      <c r="C53" s="5" t="s">
        <v>54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3.5" x14ac:dyDescent="0.15"/>
  <cols>
    <col min="1" max="1" width="60" customWidth="1"/>
  </cols>
  <sheetData>
    <row r="1" spans="1:1" ht="17.25" x14ac:dyDescent="0.3">
      <c r="A1" s="1" t="s">
        <v>55</v>
      </c>
    </row>
    <row r="3" spans="1:1" ht="15" x14ac:dyDescent="0.25">
      <c r="A3" s="2" t="s">
        <v>56</v>
      </c>
    </row>
    <row r="4" spans="1:1" ht="15" x14ac:dyDescent="0.25">
      <c r="A4" s="2" t="s">
        <v>57</v>
      </c>
    </row>
    <row r="5" spans="1:1" ht="15" x14ac:dyDescent="0.25">
      <c r="A5" s="2" t="s">
        <v>58</v>
      </c>
    </row>
    <row r="6" spans="1:1" ht="15" x14ac:dyDescent="0.25">
      <c r="A6" s="2" t="s">
        <v>59</v>
      </c>
    </row>
    <row r="7" spans="1:1" ht="15" x14ac:dyDescent="0.25">
      <c r="A7" s="2"/>
    </row>
    <row r="8" spans="1:1" ht="15" x14ac:dyDescent="0.25">
      <c r="A8" s="2" t="s">
        <v>60</v>
      </c>
    </row>
    <row r="9" spans="1:1" ht="15" x14ac:dyDescent="0.25">
      <c r="A9" s="2" t="s">
        <v>61</v>
      </c>
    </row>
    <row r="10" spans="1:1" ht="15" x14ac:dyDescent="0.25">
      <c r="A10" s="2" t="s">
        <v>62</v>
      </c>
    </row>
    <row r="11" spans="1:1" ht="15" x14ac:dyDescent="0.25">
      <c r="A11" s="2"/>
    </row>
    <row r="12" spans="1:1" ht="15" x14ac:dyDescent="0.25">
      <c r="A12" s="2" t="s">
        <v>63</v>
      </c>
    </row>
    <row r="13" spans="1:1" ht="15" x14ac:dyDescent="0.25">
      <c r="A13" s="2" t="s">
        <v>64</v>
      </c>
    </row>
    <row r="14" spans="1:1" ht="15" x14ac:dyDescent="0.25">
      <c r="A14" s="2" t="s">
        <v>65</v>
      </c>
    </row>
    <row r="15" spans="1:1" ht="15" x14ac:dyDescent="0.25">
      <c r="A15" s="2" t="s">
        <v>66</v>
      </c>
    </row>
    <row r="16" spans="1:1" ht="15" x14ac:dyDescent="0.25">
      <c r="A16" s="2" t="s">
        <v>67</v>
      </c>
    </row>
    <row r="17" spans="1:1" ht="15" x14ac:dyDescent="0.25">
      <c r="A17" s="2" t="s">
        <v>68</v>
      </c>
    </row>
    <row r="18" spans="1:1" ht="15" x14ac:dyDescent="0.25">
      <c r="A18" s="2"/>
    </row>
    <row r="19" spans="1:1" ht="15" x14ac:dyDescent="0.25">
      <c r="A19" s="2" t="s">
        <v>69</v>
      </c>
    </row>
    <row r="20" spans="1:1" ht="15" x14ac:dyDescent="0.25">
      <c r="A20" s="2" t="s">
        <v>70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XCCY Calibration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li</cp:lastModifiedBy>
  <dcterms:created xsi:type="dcterms:W3CDTF">2026-06-21T10:10:41Z</dcterms:created>
  <dcterms:modified xsi:type="dcterms:W3CDTF">2026-06-21T10:16:13Z</dcterms:modified>
</cp:coreProperties>
</file>