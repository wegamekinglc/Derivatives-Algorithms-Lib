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v\github\Derivatives-Algorithms-Lib\dal-excel\examples\"/>
    </mc:Choice>
  </mc:AlternateContent>
  <xr:revisionPtr revIDLastSave="0" documentId="13_ncr:1_{98BD7211-7FED-4A8C-B5E0-C057EE23EC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IS Curve Calibration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" i="1" l="1" a="1"/>
  <c r="I64" i="1" a="1"/>
  <c r="B72" i="1"/>
  <c r="B71" i="1"/>
  <c r="B70" i="1"/>
  <c r="B69" i="1"/>
  <c r="B68" i="1"/>
  <c r="B67" i="1"/>
  <c r="B56" i="1"/>
  <c r="B46" i="1"/>
  <c r="B45" i="1"/>
  <c r="B44" i="1"/>
  <c r="B43" i="1"/>
  <c r="B42" i="1"/>
  <c r="B41" i="1"/>
  <c r="B40" i="1"/>
  <c r="B39" i="1"/>
  <c r="B38" i="1"/>
  <c r="G64" i="1" a="1"/>
  <c r="F64" i="1" a="1"/>
  <c r="B64" i="1"/>
  <c r="B60" i="1"/>
  <c r="B34" i="1"/>
  <c r="B25" i="1"/>
  <c r="B24" i="1"/>
  <c r="B23" i="1"/>
  <c r="B22" i="1"/>
  <c r="B21" i="1"/>
  <c r="B20" i="1"/>
  <c r="B19" i="1"/>
  <c r="B18" i="1"/>
  <c r="J64" i="1" l="1"/>
  <c r="J65" i="1"/>
  <c r="J66" i="1"/>
  <c r="J67" i="1"/>
  <c r="J68" i="1"/>
  <c r="J69" i="1"/>
  <c r="J70" i="1"/>
  <c r="J71" i="1"/>
  <c r="J72" i="1"/>
  <c r="I64" i="1"/>
  <c r="I67" i="1"/>
  <c r="I68" i="1"/>
  <c r="I69" i="1"/>
  <c r="I70" i="1"/>
  <c r="I71" i="1"/>
  <c r="I72" i="1"/>
  <c r="I65" i="1"/>
  <c r="I66" i="1"/>
  <c r="G64" i="1"/>
  <c r="G68" i="1"/>
  <c r="G70" i="1"/>
  <c r="G72" i="1"/>
  <c r="G65" i="1"/>
  <c r="G67" i="1"/>
  <c r="G69" i="1"/>
  <c r="G71" i="1"/>
  <c r="G66" i="1"/>
  <c r="F64" i="1"/>
  <c r="F67" i="1"/>
  <c r="F68" i="1"/>
  <c r="F69" i="1"/>
  <c r="F70" i="1"/>
  <c r="F71" i="1"/>
  <c r="F72" i="1"/>
  <c r="F65" i="1"/>
  <c r="F66" i="1"/>
  <c r="F46" i="1"/>
  <c r="D46" i="1"/>
  <c r="C46" i="1"/>
  <c r="F45" i="1"/>
  <c r="D45" i="1"/>
  <c r="C45" i="1"/>
  <c r="F44" i="1"/>
  <c r="D44" i="1"/>
  <c r="C44" i="1"/>
  <c r="F43" i="1"/>
  <c r="D43" i="1"/>
  <c r="C43" i="1"/>
  <c r="F42" i="1"/>
  <c r="D42" i="1"/>
  <c r="C42" i="1"/>
  <c r="F41" i="1"/>
  <c r="D41" i="1"/>
  <c r="C41" i="1"/>
  <c r="F40" i="1"/>
  <c r="D40" i="1"/>
  <c r="C40" i="1"/>
  <c r="F39" i="1"/>
  <c r="D39" i="1"/>
  <c r="C39" i="1"/>
  <c r="F38" i="1"/>
  <c r="D38" i="1"/>
  <c r="C38" i="1"/>
  <c r="F25" i="1"/>
  <c r="D25" i="1"/>
  <c r="C25" i="1"/>
  <c r="F24" i="1"/>
  <c r="D24" i="1"/>
  <c r="C24" i="1"/>
  <c r="F23" i="1"/>
  <c r="D23" i="1"/>
  <c r="C23" i="1"/>
  <c r="F22" i="1"/>
  <c r="D22" i="1"/>
  <c r="C22" i="1"/>
  <c r="F21" i="1"/>
  <c r="D21" i="1"/>
  <c r="C21" i="1"/>
  <c r="F20" i="1"/>
  <c r="D20" i="1"/>
  <c r="C20" i="1"/>
  <c r="F19" i="1"/>
  <c r="D19" i="1"/>
  <c r="C19" i="1"/>
  <c r="F18" i="1"/>
  <c r="D18" i="1"/>
  <c r="C18" i="1"/>
  <c r="F17" i="1"/>
  <c r="D17" i="1"/>
  <c r="C17" i="1"/>
  <c r="B17" i="1"/>
  <c r="B13" i="1"/>
  <c r="B12" i="1"/>
  <c r="B11" i="1"/>
  <c r="B10" i="1"/>
  <c r="B9" i="1"/>
  <c r="C6" i="1" a="1"/>
  <c r="B5" i="1"/>
  <c r="B62" i="1"/>
  <c r="B61" i="1"/>
  <c r="B65" i="1"/>
  <c r="B63" i="1"/>
  <c r="C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<sst xmlns="http://schemas.openxmlformats.org/spreadsheetml/2006/main" count="119" uniqueCount="92">
  <si>
    <t>006.curve_calibration — Yield Curve Calibration</t>
  </si>
  <si>
    <t>Exactly-determined (square) OIS discount curve calibration. 9 instruments on 9 knot pillars. The EXACT solver interpolates through every quote — residuals are at machine-epsilon level.</t>
  </si>
  <si>
    <t>Setup</t>
  </si>
  <si>
    <t>Init DAL</t>
  </si>
  <si>
    <t>Run once before using any DAL functions</t>
  </si>
  <si>
    <t>Evaluation Date</t>
  </si>
  <si>
    <t>Conventions</t>
  </si>
  <si>
    <t>Overnight Index</t>
  </si>
  <si>
    <t>Libor 3M Index</t>
  </si>
  <si>
    <t>Fixed Leg</t>
  </si>
  <si>
    <t>ON Float Leg</t>
  </si>
  <si>
    <t>Std Float Leg</t>
  </si>
  <si>
    <t>Stage 1 — OIS Discount Curve</t>
  </si>
  <si>
    <t>Instrument</t>
  </si>
  <si>
    <t>Start</t>
  </si>
  <si>
    <t>Maturity</t>
  </si>
  <si>
    <t>Market Rate</t>
  </si>
  <si>
    <t>Knot Date</t>
  </si>
  <si>
    <t>OIS Dep 1M</t>
  </si>
  <si>
    <t>OIS Dep 3M</t>
  </si>
  <si>
    <t>OIS Dep 6M</t>
  </si>
  <si>
    <t>OIS Swp 12M</t>
  </si>
  <si>
    <t>OIS Swp 24M</t>
  </si>
  <si>
    <t>OIS Swp 36M</t>
  </si>
  <si>
    <t>OIS Swp 60M</t>
  </si>
  <si>
    <t>OIS Swp 84M</t>
  </si>
  <si>
    <t>OIS Swp 120M</t>
  </si>
  <si>
    <t>Calibration Settings</t>
  </si>
  <si>
    <t>curveName</t>
  </si>
  <si>
    <t>calibrateDiscountCurve</t>
  </si>
  <si>
    <t>solveMode</t>
  </si>
  <si>
    <t>parameterization</t>
  </si>
  <si>
    <t>targetCollateral</t>
  </si>
  <si>
    <t>Calibrate</t>
  </si>
  <si>
    <t>Returns a result handle; use CALIBRATIONRESULT.GET / .GET.CURVE to extract attributes</t>
  </si>
  <si>
    <t>Stage 2 — Libor 3M Forward Curve</t>
  </si>
  <si>
    <t>FRA 1x4</t>
  </si>
  <si>
    <t>FRA 3x6</t>
  </si>
  <si>
    <t>FRA 6x9</t>
  </si>
  <si>
    <t>IRS 12M</t>
  </si>
  <si>
    <t>IRS 24M</t>
  </si>
  <si>
    <t>IRS 36M</t>
  </si>
  <si>
    <t>IRS 60M</t>
  </si>
  <si>
    <t>IRS 84M</t>
  </si>
  <si>
    <t>IRS 120M</t>
  </si>
  <si>
    <t>targetTenor</t>
  </si>
  <si>
    <t>Forward-curve calibration: passes the Stage-1 OIS curve as the discount curve</t>
  </si>
  <si>
    <t>Stage 1 Results — OIS Curve</t>
  </si>
  <si>
    <t>Output</t>
  </si>
  <si>
    <t>Description</t>
  </si>
  <si>
    <t>Curve Handle</t>
  </si>
  <si>
    <t>Calibrated discount curve handle</t>
  </si>
  <si>
    <t>Max Abs Residual</t>
  </si>
  <si>
    <t>Scalar — max absolute rate residual (bp)</t>
  </si>
  <si>
    <t>RMS Residual</t>
  </si>
  <si>
    <t>Scalar — root-mean-square residual (bp)</t>
  </si>
  <si>
    <t>Residuals</t>
  </si>
  <si>
    <t>Column — (model - market) per instrument</t>
  </si>
  <si>
    <t>Market Rates</t>
  </si>
  <si>
    <t>Column — quoted rate per instrument</t>
  </si>
  <si>
    <t>Model Rates</t>
  </si>
  <si>
    <t>Column — model-implied rate per instrument</t>
  </si>
  <si>
    <t>Stage 2 Results — Libor 3M Forward Curve</t>
  </si>
  <si>
    <t>Calibrated forward curve handle</t>
  </si>
  <si>
    <t>Expected Behaviour</t>
  </si>
  <si>
    <t>1. Open the file, enable macros if prompted (DAL add-in must be loaded).</t>
  </si>
  <si>
    <t>2. Excel will recalculate formulas — calibration results appear automatically.</t>
  </si>
  <si>
    <t>3. The calibration is exactly-determined (square): 9 instruments for 9 knot pillars.</t>
  </si>
  <si>
    <t>4. With the EXACT solver, residuals should be at machine-epsilon (~1e-15) level.</t>
  </si>
  <si>
    <t>5. Try modifying market rates or adding/removing instruments to experiment.</t>
  </si>
  <si>
    <t>The two stages work independently:</t>
  </si>
  <si>
    <t xml:space="preserve">  Stage 1 calibrates an OIS discount curve from deposits and OIS swaps.</t>
  </si>
  <si>
    <t xml:space="preserve">  Stage 2 calibrates a Libor 3M forward curve from FRAs and IRS.</t>
  </si>
  <si>
    <t>CALIBRATE.SINGLECURVE returns a single result handle bundling the curve and diagnostics.</t>
  </si>
  <si>
    <t>Extract attributes with two helpers:</t>
  </si>
  <si>
    <t xml:space="preserve">  CALIBRATIONRESULT.GET.CURVE(result)              -&gt; calibrated discount curve handle</t>
  </si>
  <si>
    <t xml:space="preserve">  CALIBRATIONRESULT.GET(result, "maxAbsResidual")  -&gt; scalar stat (also rmsResidual)</t>
  </si>
  <si>
    <t xml:space="preserve">  CALIBRATIONRESULT.GET(result, "residuals")      -&gt; per-instrument column</t>
  </si>
  <si>
    <t xml:space="preserve">    (also marketRates, modelRates)</t>
  </si>
  <si>
    <t>Settings keys supported by CALIBRATE.SINGLECURVE:</t>
  </si>
  <si>
    <t xml:space="preserve">  curveName, calibrateDiscountCurve, solveMode, parameterization,</t>
  </si>
  <si>
    <t xml:space="preserve">  logDfScheme, smoothingWeight, tolerance, fitTolerance,</t>
  </si>
  <si>
    <t xml:space="preserve">  maxEvaluations, maxRestarts, initialGuess,</t>
  </si>
  <si>
    <t xml:space="preserve">  targetCollateral, targetTenor, liborBasis.</t>
  </si>
  <si>
    <t>Handle</t>
    <phoneticPr fontId="4" type="noConversion"/>
  </si>
  <si>
    <t>ois</t>
    <phoneticPr fontId="4" type="noConversion"/>
  </si>
  <si>
    <t>PIECEWISE_LINEAR_FWD</t>
    <phoneticPr fontId="4" type="noConversion"/>
  </si>
  <si>
    <t>OIS</t>
    <phoneticPr fontId="4" type="noConversion"/>
  </si>
  <si>
    <t>libor3m</t>
    <phoneticPr fontId="4" type="noConversion"/>
  </si>
  <si>
    <t>EXACT</t>
    <phoneticPr fontId="4" type="noConversion"/>
  </si>
  <si>
    <t>3M</t>
    <phoneticPr fontId="4" type="noConversion"/>
  </si>
  <si>
    <t>Formula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</si>
</sst>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%"/>
  </numFmts>
  <fonts count="11" x14ac:knownFonts="1">
    <font>
      <sz val="11"/>
      <color theme="1"/>
      <name val="宋体"/>
      <family val="2"/>
      <scheme val="minor"/>
    </font>
    <font>
      <b/>
      <sz val="13"/>
      <name val="Calibri"/>
    </font>
    <font>
      <sz val="11"/>
      <name val="Calibri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3"/>
      <name val="Consolas"/>
      <family val="3"/>
    </font>
    <font>
      <sz val="11"/>
      <color theme="1"/>
      <name val="Consolas"/>
      <family val="3"/>
    </font>
    <font>
      <sz val="11"/>
      <name val="Consolas"/>
      <family val="3"/>
    </font>
    <font>
      <b/>
      <sz val="11"/>
      <name val="Consolas"/>
      <family val="3"/>
    </font>
    <font>
      <sz val="10"/>
      <color rgb="FF555555"/>
      <name val="Consolas"/>
      <family val="3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76" fontId="10" fillId="0" borderId="0" xfId="0" applyNumberFormat="1" applyFont="1"/>
    <xf numFmtId="0" fontId="8" fillId="2" borderId="0" xfId="0" applyFont="1" applyFill="1"/>
    <xf numFmtId="177" fontId="10" fillId="0" borderId="0" xfId="0" applyNumberFormat="1" applyFont="1"/>
    <xf numFmtId="10" fontId="10" fillId="0" borderId="0" xfId="1" applyNumberFormat="1" applyFont="1" applyAlignment="1"/>
    <xf numFmtId="10" fontId="6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topLeftCell="A19" workbookViewId="0">
      <selection activeCell="L49" sqref="L49"/>
    </sheetView>
  </sheetViews>
  <sheetFormatPr defaultRowHeight="15" x14ac:dyDescent="0.25"/>
  <cols>
    <col min="1" max="1" width="50" style="4" customWidth="1"/>
    <col min="2" max="2" width="78.125" style="4" customWidth="1"/>
    <col min="3" max="3" width="50" style="4" customWidth="1"/>
    <col min="4" max="4" width="10" style="4" customWidth="1"/>
    <col min="5" max="5" width="13" style="4" customWidth="1"/>
    <col min="6" max="6" width="11" style="4" customWidth="1"/>
    <col min="7" max="16384" width="9" style="4"/>
  </cols>
  <sheetData>
    <row r="1" spans="1:6" s="4" customFormat="1" ht="16.5" x14ac:dyDescent="0.25">
      <c r="A1" s="3" t="s">
        <v>0</v>
      </c>
    </row>
    <row r="2" spans="1:6" s="4" customFormat="1" x14ac:dyDescent="0.25">
      <c r="A2" s="5" t="s">
        <v>1</v>
      </c>
    </row>
    <row r="4" spans="1:6" s="4" customFormat="1" x14ac:dyDescent="0.25">
      <c r="A4" s="6" t="s">
        <v>2</v>
      </c>
    </row>
    <row r="5" spans="1:6" s="4" customFormat="1" x14ac:dyDescent="0.25">
      <c r="A5" s="7" t="s">
        <v>3</v>
      </c>
      <c r="B5" s="8" t="b">
        <f>_xll.INIT.GLOBALDATA(0)</f>
        <v>1</v>
      </c>
      <c r="C5" s="4" t="s">
        <v>4</v>
      </c>
    </row>
    <row r="6" spans="1:6" s="4" customFormat="1" x14ac:dyDescent="0.25">
      <c r="A6" s="7" t="s">
        <v>5</v>
      </c>
      <c r="B6" s="9">
        <v>45306</v>
      </c>
      <c r="C6" s="4" cm="1">
        <f t="array" ref="C6">_xll.EVALUATIONDATE.SET(B6)</f>
        <v>45306</v>
      </c>
    </row>
    <row r="8" spans="1:6" s="4" customFormat="1" x14ac:dyDescent="0.25">
      <c r="A8" s="6" t="s">
        <v>6</v>
      </c>
    </row>
    <row r="9" spans="1:6" s="4" customFormat="1" x14ac:dyDescent="0.25">
      <c r="A9" s="10" t="s">
        <v>7</v>
      </c>
      <c r="B9" s="10" t="str">
        <f>_xll.RATEINDEXCONVENTION.NEW("1M","ACT_360","OIS",FALSE)</f>
        <v>~RateIndexConvention~~00000206833E7F90</v>
      </c>
      <c r="C9" s="10"/>
    </row>
    <row r="10" spans="1:6" s="4" customFormat="1" x14ac:dyDescent="0.25">
      <c r="A10" s="7" t="s">
        <v>8</v>
      </c>
      <c r="B10" s="8" t="str">
        <f>_xll.RATEINDEXCONVENTION.NEW("3M","ACT_360","OIS",TRUE)</f>
        <v>~RateIndexConvention~~00000206833E8710</v>
      </c>
    </row>
    <row r="11" spans="1:6" s="4" customFormat="1" x14ac:dyDescent="0.25">
      <c r="A11" s="7" t="s">
        <v>9</v>
      </c>
      <c r="B11" s="8" t="str">
        <f>_xll.RATELEGCONVENTION.NEW("6M","ACT_360")</f>
        <v>~RateLegConvention~~00000206E84B35F0</v>
      </c>
    </row>
    <row r="12" spans="1:6" s="4" customFormat="1" x14ac:dyDescent="0.25">
      <c r="A12" s="7" t="s">
        <v>10</v>
      </c>
      <c r="B12" s="8" t="str">
        <f>_xll.RATELEGCONVENTION.NEW("12M","ACT_360")</f>
        <v>~RateLegConvention~~00000206E8493420</v>
      </c>
    </row>
    <row r="13" spans="1:6" s="4" customFormat="1" x14ac:dyDescent="0.25">
      <c r="A13" s="7" t="s">
        <v>11</v>
      </c>
      <c r="B13" s="8" t="str">
        <f>_xll.RATELEGCONVENTION.NEW("6M","ACT_360")</f>
        <v>~RateLegConvention~~00000206E8491690</v>
      </c>
    </row>
    <row r="15" spans="1:6" s="4" customFormat="1" x14ac:dyDescent="0.25">
      <c r="A15" s="6" t="s">
        <v>12</v>
      </c>
    </row>
    <row r="16" spans="1:6" s="4" customFormat="1" x14ac:dyDescent="0.25">
      <c r="A16" s="10" t="s">
        <v>13</v>
      </c>
      <c r="B16" s="10" t="s">
        <v>84</v>
      </c>
      <c r="C16" s="10" t="s">
        <v>14</v>
      </c>
      <c r="D16" s="10" t="s">
        <v>15</v>
      </c>
      <c r="E16" s="10" t="s">
        <v>16</v>
      </c>
      <c r="F16" s="10" t="s">
        <v>17</v>
      </c>
    </row>
    <row r="17" spans="1:6" s="4" customFormat="1" x14ac:dyDescent="0.25">
      <c r="A17" s="5" t="s">
        <v>18</v>
      </c>
      <c r="B17" s="8" t="str">
        <f>_xll.DEPOSIT.NEW(B6,B6,B6+30,E17,B9)</f>
        <v>~YCInstrument~~00000206E82A19C0</v>
      </c>
      <c r="C17" s="9">
        <f>B6</f>
        <v>45306</v>
      </c>
      <c r="D17" s="9">
        <f>B6+30</f>
        <v>45336</v>
      </c>
      <c r="E17" s="11">
        <v>0.01</v>
      </c>
      <c r="F17" s="9">
        <f>B6+30</f>
        <v>45336</v>
      </c>
    </row>
    <row r="18" spans="1:6" s="4" customFormat="1" x14ac:dyDescent="0.25">
      <c r="A18" s="5" t="s">
        <v>19</v>
      </c>
      <c r="B18" s="8" t="str">
        <f>_xll.DEPOSIT.NEW(B6,B6,B6+90,E18,B9)</f>
        <v>~YCInstrument~~00000206E8497430</v>
      </c>
      <c r="C18" s="9">
        <f>B6</f>
        <v>45306</v>
      </c>
      <c r="D18" s="9">
        <f>B6+90</f>
        <v>45396</v>
      </c>
      <c r="E18" s="11">
        <v>1.2500000000000001E-2</v>
      </c>
      <c r="F18" s="9">
        <f>B6+90</f>
        <v>45396</v>
      </c>
    </row>
    <row r="19" spans="1:6" s="4" customFormat="1" x14ac:dyDescent="0.25">
      <c r="A19" s="5" t="s">
        <v>20</v>
      </c>
      <c r="B19" s="8" t="str">
        <f>_xll.DEPOSIT.NEW(B6,B6,B6+180,E19,B9)</f>
        <v>~YCInstrument~~00000206E857B1B0</v>
      </c>
      <c r="C19" s="9">
        <f>B6</f>
        <v>45306</v>
      </c>
      <c r="D19" s="9">
        <f>B6+180</f>
        <v>45486</v>
      </c>
      <c r="E19" s="11">
        <v>1.4999999999999999E-2</v>
      </c>
      <c r="F19" s="9">
        <f>B6+180</f>
        <v>45486</v>
      </c>
    </row>
    <row r="20" spans="1:6" s="4" customFormat="1" x14ac:dyDescent="0.25">
      <c r="A20" s="5" t="s">
        <v>21</v>
      </c>
      <c r="B20" s="8" t="str">
        <f>_xll.OISSWAP.NEW(B6,B6,B6+365,E20,B11,B9,B12)</f>
        <v>~YCInstrument~~00000206E857B030</v>
      </c>
      <c r="C20" s="9">
        <f>B6</f>
        <v>45306</v>
      </c>
      <c r="D20" s="9">
        <f>B6+365</f>
        <v>45671</v>
      </c>
      <c r="E20" s="11">
        <v>1.7500000000000002E-2</v>
      </c>
      <c r="F20" s="9">
        <f>B6+365</f>
        <v>45671</v>
      </c>
    </row>
    <row r="21" spans="1:6" s="4" customFormat="1" x14ac:dyDescent="0.25">
      <c r="A21" s="5" t="s">
        <v>22</v>
      </c>
      <c r="B21" s="8" t="str">
        <f>_xll.OISSWAP.NEW(B6,B6,B6+730,E21,B11,B9,B12)</f>
        <v>~YCInstrument~~00000206E866F4F0</v>
      </c>
      <c r="C21" s="9">
        <f>B6</f>
        <v>45306</v>
      </c>
      <c r="D21" s="9">
        <f>B6+730</f>
        <v>46036</v>
      </c>
      <c r="E21" s="11">
        <v>0.02</v>
      </c>
      <c r="F21" s="9">
        <f>B6+730</f>
        <v>46036</v>
      </c>
    </row>
    <row r="22" spans="1:6" s="4" customFormat="1" x14ac:dyDescent="0.25">
      <c r="A22" s="5" t="s">
        <v>23</v>
      </c>
      <c r="B22" s="8" t="str">
        <f>_xll.OISSWAP.NEW(B6,B6,B6+1095,E22,B11,B9,B12)</f>
        <v>~YCInstrument~~00000206E857BB70</v>
      </c>
      <c r="C22" s="9">
        <f>B6</f>
        <v>45306</v>
      </c>
      <c r="D22" s="9">
        <f>B6+1095</f>
        <v>46401</v>
      </c>
      <c r="E22" s="11">
        <v>2.2499999999999999E-2</v>
      </c>
      <c r="F22" s="9">
        <f>B6+1095</f>
        <v>46401</v>
      </c>
    </row>
    <row r="23" spans="1:6" s="4" customFormat="1" x14ac:dyDescent="0.25">
      <c r="A23" s="5" t="s">
        <v>24</v>
      </c>
      <c r="B23" s="8" t="str">
        <f>_xll.OISSWAP.NEW(B6,B6,B6+1825,E23,B11,B9,B12)</f>
        <v>~YCInstrument~~00000206E857BB10</v>
      </c>
      <c r="C23" s="9">
        <f>B6</f>
        <v>45306</v>
      </c>
      <c r="D23" s="9">
        <f>B6+1825</f>
        <v>47131</v>
      </c>
      <c r="E23" s="11">
        <v>2.5000000000000001E-2</v>
      </c>
      <c r="F23" s="9">
        <f>B6+1825</f>
        <v>47131</v>
      </c>
    </row>
    <row r="24" spans="1:6" s="4" customFormat="1" x14ac:dyDescent="0.25">
      <c r="A24" s="5" t="s">
        <v>25</v>
      </c>
      <c r="B24" s="8" t="str">
        <f>_xll.OISSWAP.NEW(B6,B6,B6+2555,E24,B11,B9,B12)</f>
        <v>~YCInstrument~~00000206E866F790</v>
      </c>
      <c r="C24" s="9">
        <f>B6</f>
        <v>45306</v>
      </c>
      <c r="D24" s="9">
        <f>B6+2555</f>
        <v>47861</v>
      </c>
      <c r="E24" s="11">
        <v>2.75E-2</v>
      </c>
      <c r="F24" s="9">
        <f>B6+2555</f>
        <v>47861</v>
      </c>
    </row>
    <row r="25" spans="1:6" s="4" customFormat="1" x14ac:dyDescent="0.25">
      <c r="A25" s="5" t="s">
        <v>26</v>
      </c>
      <c r="B25" s="8" t="str">
        <f>_xll.OISSWAP.NEW(B6,B6,B6+3650,E25,B11,B9,B12)</f>
        <v>~YCInstrument~~00000206E857B4B0</v>
      </c>
      <c r="C25" s="9">
        <f>B6</f>
        <v>45306</v>
      </c>
      <c r="D25" s="9">
        <f>B6+3650</f>
        <v>48956</v>
      </c>
      <c r="E25" s="11">
        <v>0.03</v>
      </c>
      <c r="F25" s="9">
        <f>B6+3650</f>
        <v>48956</v>
      </c>
    </row>
    <row r="27" spans="1:6" s="4" customFormat="1" x14ac:dyDescent="0.25">
      <c r="A27" s="10" t="s">
        <v>27</v>
      </c>
      <c r="B27" s="10"/>
    </row>
    <row r="28" spans="1:6" s="4" customFormat="1" x14ac:dyDescent="0.25">
      <c r="A28" s="8" t="s">
        <v>28</v>
      </c>
      <c r="B28" s="8" t="s">
        <v>85</v>
      </c>
    </row>
    <row r="29" spans="1:6" s="4" customFormat="1" x14ac:dyDescent="0.25">
      <c r="A29" s="8" t="s">
        <v>29</v>
      </c>
      <c r="B29" s="8" t="b">
        <v>1</v>
      </c>
    </row>
    <row r="30" spans="1:6" s="4" customFormat="1" x14ac:dyDescent="0.25">
      <c r="A30" s="8" t="s">
        <v>30</v>
      </c>
      <c r="B30" s="8" t="s">
        <v>89</v>
      </c>
    </row>
    <row r="31" spans="1:6" s="4" customFormat="1" x14ac:dyDescent="0.25">
      <c r="A31" s="8" t="s">
        <v>31</v>
      </c>
      <c r="B31" s="8" t="s">
        <v>86</v>
      </c>
    </row>
    <row r="32" spans="1:6" s="4" customFormat="1" x14ac:dyDescent="0.25">
      <c r="A32" s="8" t="s">
        <v>32</v>
      </c>
      <c r="B32" s="8" t="s">
        <v>87</v>
      </c>
    </row>
    <row r="34" spans="1:6" s="4" customFormat="1" x14ac:dyDescent="0.25">
      <c r="A34" s="6" t="s">
        <v>33</v>
      </c>
      <c r="B34" s="8" t="str">
        <f>_xll.CALIBRATE.SINGLECURVE(B6,"USD",B17:B25,F17:F25,A28:B32)</f>
        <v>~CurveCalibrationResult~~00000206E8581390</v>
      </c>
      <c r="C34" s="4" t="s">
        <v>34</v>
      </c>
    </row>
    <row r="36" spans="1:6" s="4" customFormat="1" x14ac:dyDescent="0.25">
      <c r="A36" s="6" t="s">
        <v>35</v>
      </c>
    </row>
    <row r="37" spans="1:6" s="4" customFormat="1" x14ac:dyDescent="0.25">
      <c r="A37" s="10" t="s">
        <v>13</v>
      </c>
      <c r="B37" s="10" t="s">
        <v>84</v>
      </c>
      <c r="C37" s="10" t="s">
        <v>14</v>
      </c>
      <c r="D37" s="10" t="s">
        <v>15</v>
      </c>
      <c r="E37" s="10" t="s">
        <v>16</v>
      </c>
      <c r="F37" s="10" t="s">
        <v>17</v>
      </c>
    </row>
    <row r="38" spans="1:6" s="4" customFormat="1" x14ac:dyDescent="0.25">
      <c r="A38" s="5" t="s">
        <v>36</v>
      </c>
      <c r="B38" s="8" t="str">
        <f>_xll.FRA.NEW(B6,B6+30,B6+120,E38,B10)</f>
        <v>~YCInstrument~~00000206E898BA30</v>
      </c>
      <c r="C38" s="9">
        <f>B6+30</f>
        <v>45336</v>
      </c>
      <c r="D38" s="9">
        <f>B6+120</f>
        <v>45426</v>
      </c>
      <c r="E38" s="11">
        <v>0.03</v>
      </c>
      <c r="F38" s="9">
        <f>B6+30</f>
        <v>45336</v>
      </c>
    </row>
    <row r="39" spans="1:6" s="4" customFormat="1" x14ac:dyDescent="0.25">
      <c r="A39" s="5" t="s">
        <v>37</v>
      </c>
      <c r="B39" s="8" t="str">
        <f>_xll.FRA.NEW(B6,B6+90,B6+180,E39,B10)</f>
        <v>~YCInstrument~~00000206E8989D50</v>
      </c>
      <c r="C39" s="9">
        <f>B6+90</f>
        <v>45396</v>
      </c>
      <c r="D39" s="9">
        <f>B6+180</f>
        <v>45486</v>
      </c>
      <c r="E39" s="11">
        <v>3.2000000000000001E-2</v>
      </c>
      <c r="F39" s="9">
        <f>B6+90</f>
        <v>45396</v>
      </c>
    </row>
    <row r="40" spans="1:6" s="4" customFormat="1" x14ac:dyDescent="0.25">
      <c r="A40" s="5" t="s">
        <v>38</v>
      </c>
      <c r="B40" s="8" t="str">
        <f>_xll.FRA.NEW(B6,B6+180,B6+270,E40,B10)</f>
        <v>~YCInstrument~~00000206E8989930</v>
      </c>
      <c r="C40" s="9">
        <f>B6+180</f>
        <v>45486</v>
      </c>
      <c r="D40" s="9">
        <f>B6+270</f>
        <v>45576</v>
      </c>
      <c r="E40" s="11">
        <v>3.4000000000000002E-2</v>
      </c>
      <c r="F40" s="9">
        <f>B6+180</f>
        <v>45486</v>
      </c>
    </row>
    <row r="41" spans="1:6" s="4" customFormat="1" x14ac:dyDescent="0.25">
      <c r="A41" s="5" t="s">
        <v>39</v>
      </c>
      <c r="B41" s="8" t="str">
        <f>_xll.SWAP.NEW(B6,B6,B6+365,E41,B11,B10,B13)</f>
        <v>~YCInstrument~~00000206E8989AB0</v>
      </c>
      <c r="C41" s="9">
        <f>B6</f>
        <v>45306</v>
      </c>
      <c r="D41" s="9">
        <f>B6+365</f>
        <v>45671</v>
      </c>
      <c r="E41" s="11">
        <v>3.5999999999999997E-2</v>
      </c>
      <c r="F41" s="9">
        <f>B6+365</f>
        <v>45671</v>
      </c>
    </row>
    <row r="42" spans="1:6" s="4" customFormat="1" x14ac:dyDescent="0.25">
      <c r="A42" s="5" t="s">
        <v>40</v>
      </c>
      <c r="B42" s="8" t="str">
        <f>_xll.SWAP.NEW(B6,B6,B6+730,E42,B11,B10,B13)</f>
        <v>~YCInstrument~~00000206E898A350</v>
      </c>
      <c r="C42" s="9">
        <f>B6</f>
        <v>45306</v>
      </c>
      <c r="D42" s="9">
        <f>B6+730</f>
        <v>46036</v>
      </c>
      <c r="E42" s="11">
        <v>3.7999999999999999E-2</v>
      </c>
      <c r="F42" s="9">
        <f>B6+730</f>
        <v>46036</v>
      </c>
    </row>
    <row r="43" spans="1:6" s="4" customFormat="1" x14ac:dyDescent="0.25">
      <c r="A43" s="5" t="s">
        <v>41</v>
      </c>
      <c r="B43" s="8" t="str">
        <f>_xll.SWAP.NEW(B6,B6,B6+1095,E43,B11,B10,B13)</f>
        <v>~YCInstrument~~00000206E898C0F0</v>
      </c>
      <c r="C43" s="9">
        <f>B6</f>
        <v>45306</v>
      </c>
      <c r="D43" s="9">
        <f>B6+1095</f>
        <v>46401</v>
      </c>
      <c r="E43" s="11">
        <v>0.04</v>
      </c>
      <c r="F43" s="9">
        <f>B6+1095</f>
        <v>46401</v>
      </c>
    </row>
    <row r="44" spans="1:6" s="4" customFormat="1" x14ac:dyDescent="0.25">
      <c r="A44" s="5" t="s">
        <v>42</v>
      </c>
      <c r="B44" s="8" t="str">
        <f>_xll.SWAP.NEW(B6,B6,B6+1825,E44,B11,B10,B13)</f>
        <v>~YCInstrument~~00000206E898AB30</v>
      </c>
      <c r="C44" s="9">
        <f>B6</f>
        <v>45306</v>
      </c>
      <c r="D44" s="9">
        <f>B6+1825</f>
        <v>47131</v>
      </c>
      <c r="E44" s="11">
        <v>4.2000000000000003E-2</v>
      </c>
      <c r="F44" s="9">
        <f>B6+1825</f>
        <v>47131</v>
      </c>
    </row>
    <row r="45" spans="1:6" s="4" customFormat="1" x14ac:dyDescent="0.25">
      <c r="A45" s="5" t="s">
        <v>43</v>
      </c>
      <c r="B45" s="8" t="str">
        <f>_xll.SWAP.NEW(B6,B6,B6+2555,E45,B11,B10,B13)</f>
        <v>~YCInstrument~~00000206E898C390</v>
      </c>
      <c r="C45" s="9">
        <f>B6</f>
        <v>45306</v>
      </c>
      <c r="D45" s="9">
        <f>B6+2555</f>
        <v>47861</v>
      </c>
      <c r="E45" s="11">
        <v>4.3999999999999997E-2</v>
      </c>
      <c r="F45" s="9">
        <f>B6+2555</f>
        <v>47861</v>
      </c>
    </row>
    <row r="46" spans="1:6" s="4" customFormat="1" x14ac:dyDescent="0.25">
      <c r="A46" s="5" t="s">
        <v>44</v>
      </c>
      <c r="B46" s="8" t="str">
        <f>_xll.SWAP.NEW(B6,B6,B6+3650,E46,B11,B10,B13)</f>
        <v>~YCInstrument~~00000206DFFD8290</v>
      </c>
      <c r="C46" s="9">
        <f>B6</f>
        <v>45306</v>
      </c>
      <c r="D46" s="9">
        <f>B6+3650</f>
        <v>48956</v>
      </c>
      <c r="E46" s="11">
        <v>4.5999999999999999E-2</v>
      </c>
      <c r="F46" s="9">
        <f>B6+3650</f>
        <v>48956</v>
      </c>
    </row>
    <row r="48" spans="1:6" s="4" customFormat="1" x14ac:dyDescent="0.25">
      <c r="A48" s="10" t="s">
        <v>27</v>
      </c>
      <c r="B48" s="10"/>
    </row>
    <row r="49" spans="1:10" s="4" customFormat="1" x14ac:dyDescent="0.25">
      <c r="A49" s="8" t="s">
        <v>28</v>
      </c>
      <c r="B49" s="8" t="s">
        <v>88</v>
      </c>
    </row>
    <row r="50" spans="1:10" s="4" customFormat="1" x14ac:dyDescent="0.25">
      <c r="A50" s="8" t="s">
        <v>29</v>
      </c>
      <c r="B50" s="8" t="b">
        <v>0</v>
      </c>
    </row>
    <row r="51" spans="1:10" s="4" customFormat="1" x14ac:dyDescent="0.25">
      <c r="A51" s="8" t="s">
        <v>30</v>
      </c>
      <c r="B51" s="8" t="s">
        <v>89</v>
      </c>
    </row>
    <row r="52" spans="1:10" s="4" customFormat="1" x14ac:dyDescent="0.25">
      <c r="A52" s="8" t="s">
        <v>31</v>
      </c>
      <c r="B52" s="8" t="s">
        <v>86</v>
      </c>
    </row>
    <row r="53" spans="1:10" s="4" customFormat="1" x14ac:dyDescent="0.25">
      <c r="A53" s="8" t="s">
        <v>32</v>
      </c>
      <c r="B53" s="8" t="s">
        <v>87</v>
      </c>
    </row>
    <row r="54" spans="1:10" s="4" customFormat="1" x14ac:dyDescent="0.25">
      <c r="A54" s="8" t="s">
        <v>45</v>
      </c>
      <c r="B54" s="8" t="s">
        <v>90</v>
      </c>
    </row>
    <row r="56" spans="1:10" s="4" customFormat="1" x14ac:dyDescent="0.25">
      <c r="A56" s="6" t="s">
        <v>33</v>
      </c>
      <c r="B56" s="8" t="str">
        <f>_xll.CALIBRATE.SINGLECURVE(B6,"USD",B38:B46,F38:F46,A49:B54,_xll.CALIBRATIONRESULT.GET.CURVE(B34))</f>
        <v>~CurveCalibrationResult~~0000020692747980</v>
      </c>
      <c r="C56" s="4" t="s">
        <v>46</v>
      </c>
    </row>
    <row r="58" spans="1:10" s="4" customFormat="1" x14ac:dyDescent="0.25">
      <c r="A58" s="6" t="s">
        <v>47</v>
      </c>
    </row>
    <row r="59" spans="1:10" s="4" customFormat="1" x14ac:dyDescent="0.25">
      <c r="A59" s="10" t="s">
        <v>48</v>
      </c>
      <c r="B59" s="10" t="s">
        <v>91</v>
      </c>
      <c r="C59" s="10" t="s">
        <v>49</v>
      </c>
    </row>
    <row r="60" spans="1:10" s="4" customFormat="1" x14ac:dyDescent="0.25">
      <c r="A60" s="5" t="s">
        <v>50</v>
      </c>
      <c r="B60" s="8" t="str">
        <f>_xll.CALIBRATIONRESULT.GET.CURVE(B34)</f>
        <v>~DiscountCurve~~00000206E866F6D0</v>
      </c>
      <c r="C60" s="5" t="s">
        <v>51</v>
      </c>
    </row>
    <row r="61" spans="1:10" s="4" customFormat="1" x14ac:dyDescent="0.25">
      <c r="A61" s="5" t="s">
        <v>52</v>
      </c>
      <c r="B61" s="8">
        <f>_xll.CALIBRATIONRESULT.GET(B34,"maxAbsResidual")</f>
        <v>2.2431504154152293E-9</v>
      </c>
      <c r="C61" s="5" t="s">
        <v>53</v>
      </c>
    </row>
    <row r="62" spans="1:10" s="4" customFormat="1" x14ac:dyDescent="0.25">
      <c r="A62" s="5" t="s">
        <v>54</v>
      </c>
      <c r="B62" s="8">
        <f>_xll.CALIBRATIONRESULT.GET(B34,"rmsResidual")</f>
        <v>8.0324997968722306E-10</v>
      </c>
      <c r="C62" s="5" t="s">
        <v>55</v>
      </c>
    </row>
    <row r="63" spans="1:10" s="4" customFormat="1" x14ac:dyDescent="0.25">
      <c r="A63" s="5" t="s">
        <v>56</v>
      </c>
      <c r="B63" s="8">
        <f>_xll.CALIBRATIONRESULT.GET(B34,"residuals")</f>
        <v>-8.7936094170237844E-11</v>
      </c>
      <c r="C63" s="5" t="s">
        <v>57</v>
      </c>
      <c r="F63" s="12"/>
    </row>
    <row r="64" spans="1:10" s="4" customFormat="1" x14ac:dyDescent="0.25">
      <c r="A64" s="5" t="s">
        <v>58</v>
      </c>
      <c r="B64" s="8">
        <f>_xll.CALIBRATIONRESULT.GET(B34,"marketRates")</f>
        <v>0.01</v>
      </c>
      <c r="C64" s="5" t="s">
        <v>59</v>
      </c>
      <c r="F64" s="13">
        <f t="array" ref="F64:F72">_xll.CALIBRATIONRESULT.GET(B34,"marketRates")</f>
        <v>0.01</v>
      </c>
      <c r="G64" s="13">
        <f t="array" ref="G64:G72">_xll.CALIBRATIONRESULT.GET(B34,"modelRates")</f>
        <v>9.999999912063906E-3</v>
      </c>
      <c r="I64" s="13">
        <f t="array" ref="I64:I72">_xll.CALIBRATIONRESULT.GET(B56,"marketRates")</f>
        <v>0.03</v>
      </c>
      <c r="J64" s="13">
        <f t="array" ref="J64:J72">_xll.CALIBRATIONRESULT.GET(B56,"modelRates")</f>
        <v>2.9999999639222175E-2</v>
      </c>
    </row>
    <row r="65" spans="1:10" s="4" customFormat="1" x14ac:dyDescent="0.25">
      <c r="A65" s="5" t="s">
        <v>60</v>
      </c>
      <c r="B65" s="8">
        <f>_xll.CALIBRATIONRESULT.GET(B34,"modelRates")</f>
        <v>9.999999912063906E-3</v>
      </c>
      <c r="C65" s="5" t="s">
        <v>61</v>
      </c>
      <c r="F65" s="13">
        <v>1.2500000000000001E-2</v>
      </c>
      <c r="G65" s="13">
        <v>1.2499999647220853E-2</v>
      </c>
      <c r="I65" s="13">
        <v>3.2000000000000001E-2</v>
      </c>
      <c r="J65" s="13">
        <v>3.1999999683050596E-2</v>
      </c>
    </row>
    <row r="66" spans="1:10" s="4" customFormat="1" x14ac:dyDescent="0.25">
      <c r="A66" s="6" t="s">
        <v>62</v>
      </c>
      <c r="F66" s="13">
        <v>1.4999999999999999E-2</v>
      </c>
      <c r="G66" s="13">
        <v>1.5000000334860816E-2</v>
      </c>
      <c r="I66" s="13">
        <v>3.4000000000000002E-2</v>
      </c>
      <c r="J66" s="13">
        <v>3.3999999754000608E-2</v>
      </c>
    </row>
    <row r="67" spans="1:10" s="4" customFormat="1" x14ac:dyDescent="0.25">
      <c r="A67" s="5" t="s">
        <v>50</v>
      </c>
      <c r="B67" s="8" t="str">
        <f>_xll.CALIBRATIONRESULT.GET.CURVE(B56)</f>
        <v>~DiscountCurve~~00000206E8989ED0</v>
      </c>
      <c r="C67" s="5" t="s">
        <v>63</v>
      </c>
      <c r="F67" s="13">
        <v>1.7500000000000002E-2</v>
      </c>
      <c r="G67" s="13">
        <v>1.7500000313798905E-2</v>
      </c>
      <c r="I67" s="13">
        <v>3.5999999999999997E-2</v>
      </c>
      <c r="J67" s="13">
        <v>3.5999999994596514E-2</v>
      </c>
    </row>
    <row r="68" spans="1:10" s="4" customFormat="1" x14ac:dyDescent="0.25">
      <c r="A68" s="5" t="s">
        <v>52</v>
      </c>
      <c r="B68" s="8">
        <f>_xll.CALIBRATIONRESULT.GET(B56,"maxAbsResidual")</f>
        <v>3.6077782428201033E-10</v>
      </c>
      <c r="C68" s="5" t="s">
        <v>53</v>
      </c>
      <c r="F68" s="13">
        <v>0.02</v>
      </c>
      <c r="G68" s="13">
        <v>2.0000000302846644E-2</v>
      </c>
      <c r="I68" s="13">
        <v>3.7999999999999999E-2</v>
      </c>
      <c r="J68" s="13">
        <v>3.7999999907181774E-2</v>
      </c>
    </row>
    <row r="69" spans="1:10" s="4" customFormat="1" x14ac:dyDescent="0.25">
      <c r="A69" s="5" t="s">
        <v>54</v>
      </c>
      <c r="B69" s="8">
        <f>_xll.CALIBRATIONRESULT.GET(B56,"rmsResidual")</f>
        <v>1.8669705122805819E-10</v>
      </c>
      <c r="C69" s="5" t="s">
        <v>55</v>
      </c>
      <c r="F69" s="13">
        <v>2.2499999999999999E-2</v>
      </c>
      <c r="G69" s="13">
        <v>2.250000034414033E-2</v>
      </c>
      <c r="I69" s="13">
        <v>0.04</v>
      </c>
      <c r="J69" s="13">
        <v>3.999999991773176E-2</v>
      </c>
    </row>
    <row r="70" spans="1:10" s="4" customFormat="1" x14ac:dyDescent="0.25">
      <c r="A70" s="5" t="s">
        <v>56</v>
      </c>
      <c r="B70" s="8">
        <f>_xll.CALIBRATIONRESULT.GET(B56,"residuals")</f>
        <v>-3.6077782428201033E-10</v>
      </c>
      <c r="C70" s="5" t="s">
        <v>57</v>
      </c>
      <c r="F70" s="13">
        <v>2.5000000000000001E-2</v>
      </c>
      <c r="G70" s="13">
        <v>2.5000000304185123E-2</v>
      </c>
      <c r="I70" s="13">
        <v>4.2000000000000003E-2</v>
      </c>
      <c r="J70" s="13">
        <v>4.1999999936867163E-2</v>
      </c>
    </row>
    <row r="71" spans="1:10" s="4" customFormat="1" x14ac:dyDescent="0.25">
      <c r="A71" s="5" t="s">
        <v>58</v>
      </c>
      <c r="B71" s="8">
        <f>_xll.CALIBRATIONRESULT.GET(B56,"marketRates")</f>
        <v>0.03</v>
      </c>
      <c r="C71" s="5" t="s">
        <v>59</v>
      </c>
      <c r="F71" s="13">
        <v>2.75E-2</v>
      </c>
      <c r="G71" s="13">
        <v>2.7499999639852342E-2</v>
      </c>
      <c r="I71" s="13">
        <v>4.3999999999999997E-2</v>
      </c>
      <c r="J71" s="13">
        <v>4.399999995355492E-2</v>
      </c>
    </row>
    <row r="72" spans="1:10" s="4" customFormat="1" x14ac:dyDescent="0.25">
      <c r="A72" s="5" t="s">
        <v>60</v>
      </c>
      <c r="B72" s="8">
        <f>_xll.CALIBRATIONRESULT.GET(B56,"modelRates")</f>
        <v>2.9999999639222175E-2</v>
      </c>
      <c r="C72" s="5" t="s">
        <v>61</v>
      </c>
      <c r="F72" s="13">
        <v>0.03</v>
      </c>
      <c r="G72" s="13">
        <v>3.0000002243150414E-2</v>
      </c>
      <c r="I72" s="13">
        <v>4.5999999999999999E-2</v>
      </c>
      <c r="J72" s="13">
        <v>4.5999999968165263E-2</v>
      </c>
    </row>
    <row r="73" spans="1:10" s="4" customFormat="1" x14ac:dyDescent="0.25">
      <c r="F73" s="13"/>
      <c r="G73" s="13"/>
    </row>
    <row r="74" spans="1:10" s="4" customFormat="1" x14ac:dyDescent="0.25">
      <c r="F74" s="13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3.5" x14ac:dyDescent="0.15"/>
  <cols>
    <col min="1" max="1" width="60" customWidth="1"/>
  </cols>
  <sheetData>
    <row r="1" spans="1:1" ht="17.25" x14ac:dyDescent="0.3">
      <c r="A1" s="1" t="s">
        <v>64</v>
      </c>
    </row>
    <row r="3" spans="1:1" ht="15" x14ac:dyDescent="0.25">
      <c r="A3" s="2" t="s">
        <v>65</v>
      </c>
    </row>
    <row r="4" spans="1:1" ht="15" x14ac:dyDescent="0.25">
      <c r="A4" s="2" t="s">
        <v>66</v>
      </c>
    </row>
    <row r="5" spans="1:1" ht="15" x14ac:dyDescent="0.25">
      <c r="A5" s="2" t="s">
        <v>67</v>
      </c>
    </row>
    <row r="6" spans="1:1" ht="15" x14ac:dyDescent="0.25">
      <c r="A6" s="2" t="s">
        <v>68</v>
      </c>
    </row>
    <row r="7" spans="1:1" ht="15" x14ac:dyDescent="0.25">
      <c r="A7" s="2" t="s">
        <v>69</v>
      </c>
    </row>
    <row r="8" spans="1:1" ht="15" x14ac:dyDescent="0.25">
      <c r="A8" s="2"/>
    </row>
    <row r="9" spans="1:1" ht="15" x14ac:dyDescent="0.25">
      <c r="A9" s="2" t="s">
        <v>70</v>
      </c>
    </row>
    <row r="10" spans="1:1" ht="15" x14ac:dyDescent="0.25">
      <c r="A10" s="2" t="s">
        <v>71</v>
      </c>
    </row>
    <row r="11" spans="1:1" ht="15" x14ac:dyDescent="0.25">
      <c r="A11" s="2" t="s">
        <v>72</v>
      </c>
    </row>
    <row r="12" spans="1:1" ht="15" x14ac:dyDescent="0.25">
      <c r="A12" s="2"/>
    </row>
    <row r="13" spans="1:1" ht="15" x14ac:dyDescent="0.25">
      <c r="A13" s="2" t="s">
        <v>73</v>
      </c>
    </row>
    <row r="14" spans="1:1" ht="15" x14ac:dyDescent="0.25">
      <c r="A14" s="2" t="s">
        <v>74</v>
      </c>
    </row>
    <row r="15" spans="1:1" ht="15" x14ac:dyDescent="0.25">
      <c r="A15" s="2" t="s">
        <v>75</v>
      </c>
    </row>
    <row r="16" spans="1:1" ht="15" x14ac:dyDescent="0.25">
      <c r="A16" s="2" t="s">
        <v>76</v>
      </c>
    </row>
    <row r="17" spans="1:1" ht="15" x14ac:dyDescent="0.25">
      <c r="A17" s="2" t="s">
        <v>77</v>
      </c>
    </row>
    <row r="18" spans="1:1" ht="15" x14ac:dyDescent="0.25">
      <c r="A18" s="2" t="s">
        <v>78</v>
      </c>
    </row>
    <row r="19" spans="1:1" ht="15" x14ac:dyDescent="0.25">
      <c r="A19" s="2"/>
    </row>
    <row r="20" spans="1:1" ht="15" x14ac:dyDescent="0.25">
      <c r="A20" s="2" t="s">
        <v>79</v>
      </c>
    </row>
    <row r="21" spans="1:1" ht="15" x14ac:dyDescent="0.25">
      <c r="A21" s="2" t="s">
        <v>80</v>
      </c>
    </row>
    <row r="22" spans="1:1" ht="15" x14ac:dyDescent="0.25">
      <c r="A22" s="2" t="s">
        <v>81</v>
      </c>
    </row>
    <row r="23" spans="1:1" ht="15" x14ac:dyDescent="0.25">
      <c r="A23" s="2" t="s">
        <v>82</v>
      </c>
    </row>
    <row r="24" spans="1:1" ht="15" x14ac:dyDescent="0.25">
      <c r="A24" s="2" t="s">
        <v>83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OIS Curve Calibration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 li</cp:lastModifiedBy>
  <dcterms:created xsi:type="dcterms:W3CDTF">2026-06-21T09:35:16Z</dcterms:created>
  <dcterms:modified xsi:type="dcterms:W3CDTF">2026-06-21T10:01:50Z</dcterms:modified>
</cp:coreProperties>
</file>